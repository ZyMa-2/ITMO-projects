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Workbook________" defaultThemeVersion="166925"/>
  <mc:AlternateContent xmlns:mc="http://schemas.openxmlformats.org/markup-compatibility/2006">
    <mc:Choice Requires="x15">
      <x15ac:absPath xmlns:x15ac="http://schemas.microsoft.com/office/spreadsheetml/2010/11/ac" url="https://niuitmo-my.sharepoint.com/personal/zymaa_niuitmo_ru/Documents/"/>
    </mc:Choice>
  </mc:AlternateContent>
  <xr:revisionPtr revIDLastSave="766" documentId="8_{937A05BA-1F23-4617-AF72-E4916F323EB3}" xr6:coauthVersionLast="47" xr6:coauthVersionMax="47" xr10:uidLastSave="{B3C979DC-BF9B-43BA-A23D-6FAE0B940C1A}"/>
  <bookViews>
    <workbookView xWindow="-107" yWindow="-107" windowWidth="20847" windowHeight="11208" xr2:uid="{B35F698F-385E-4F44-A943-F7A41404D564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40" i="1" l="1"/>
  <c r="AK40" i="1"/>
  <c r="AJ40" i="1"/>
  <c r="AI40" i="1"/>
  <c r="AH40" i="1"/>
  <c r="AG40" i="1"/>
  <c r="AL34" i="1"/>
  <c r="AK34" i="1"/>
  <c r="AJ34" i="1"/>
  <c r="AI34" i="1"/>
  <c r="AH34" i="1"/>
  <c r="AG34" i="1"/>
  <c r="AL28" i="1"/>
  <c r="AK28" i="1"/>
  <c r="AJ28" i="1"/>
  <c r="AI28" i="1"/>
  <c r="AH28" i="1"/>
  <c r="AG28" i="1"/>
  <c r="AL22" i="1"/>
  <c r="AK22" i="1"/>
  <c r="AJ22" i="1"/>
  <c r="AI22" i="1"/>
  <c r="AH22" i="1"/>
  <c r="AG22" i="1"/>
  <c r="AL16" i="1"/>
  <c r="AK16" i="1"/>
  <c r="AJ16" i="1"/>
  <c r="AI16" i="1"/>
  <c r="AH16" i="1"/>
  <c r="AG16" i="1"/>
  <c r="AL10" i="1"/>
  <c r="AK10" i="1"/>
  <c r="AJ10" i="1"/>
  <c r="AI10" i="1"/>
  <c r="AH10" i="1"/>
  <c r="AG10" i="1"/>
  <c r="AI4" i="1"/>
  <c r="AK4" i="1"/>
  <c r="AH4" i="1"/>
  <c r="AQ38" i="1"/>
  <c r="AQ41" i="1" s="1"/>
  <c r="AQ42" i="1" s="1"/>
  <c r="AQ32" i="1"/>
  <c r="AQ35" i="1" s="1"/>
  <c r="AQ36" i="1" s="1"/>
  <c r="AQ26" i="1"/>
  <c r="AQ29" i="1" s="1"/>
  <c r="AQ30" i="1" s="1"/>
  <c r="AQ8" i="1"/>
  <c r="AQ11" i="1" s="1"/>
  <c r="AQ12" i="1" s="1"/>
  <c r="AQ14" i="1"/>
  <c r="AQ17" i="1" s="1"/>
  <c r="AQ18" i="1" s="1"/>
  <c r="AQ20" i="1"/>
  <c r="AQ23" i="1" s="1"/>
  <c r="AQ24" i="1" s="1"/>
  <c r="C4" i="1" l="1"/>
  <c r="AC3" i="1" s="1"/>
  <c r="D4" i="1" l="1"/>
  <c r="F4" i="1" s="1"/>
  <c r="AC33" i="1"/>
  <c r="C10" i="1"/>
  <c r="C8" i="1"/>
  <c r="D8" i="1" s="1"/>
  <c r="C7" i="1"/>
  <c r="D7" i="1" s="1"/>
  <c r="C6" i="1"/>
  <c r="C5" i="1"/>
  <c r="D5" i="1" l="1"/>
  <c r="AC9" i="1"/>
  <c r="AC4" i="1"/>
  <c r="AE4" i="1" s="1"/>
  <c r="AC15" i="1"/>
  <c r="D10" i="1"/>
  <c r="AC21" i="1"/>
  <c r="AC16" i="1"/>
  <c r="AE16" i="1" s="1"/>
  <c r="D6" i="1"/>
  <c r="AC40" i="1"/>
  <c r="AC10" i="1"/>
  <c r="AE10" i="1" s="1"/>
  <c r="L33" i="1"/>
  <c r="AS33" i="1" s="1"/>
  <c r="M33" i="1"/>
  <c r="AT33" i="1" s="1"/>
  <c r="U33" i="1"/>
  <c r="BB33" i="1" s="1"/>
  <c r="N33" i="1"/>
  <c r="AU33" i="1" s="1"/>
  <c r="V33" i="1"/>
  <c r="BC33" i="1" s="1"/>
  <c r="Z33" i="1"/>
  <c r="BG33" i="1" s="1"/>
  <c r="O33" i="1"/>
  <c r="AV33" i="1" s="1"/>
  <c r="W33" i="1"/>
  <c r="BD33" i="1" s="1"/>
  <c r="P33" i="1"/>
  <c r="AW33" i="1" s="1"/>
  <c r="X33" i="1"/>
  <c r="BE33" i="1" s="1"/>
  <c r="R33" i="1"/>
  <c r="AY33" i="1" s="1"/>
  <c r="T33" i="1"/>
  <c r="BA33" i="1" s="1"/>
  <c r="Q33" i="1"/>
  <c r="AX33" i="1" s="1"/>
  <c r="Y33" i="1"/>
  <c r="BF33" i="1" s="1"/>
  <c r="S33" i="1"/>
  <c r="AZ33" i="1" s="1"/>
  <c r="M3" i="1"/>
  <c r="AT3" i="1" s="1"/>
  <c r="U3" i="1"/>
  <c r="BB3" i="1" s="1"/>
  <c r="N3" i="1"/>
  <c r="AU3" i="1" s="1"/>
  <c r="V3" i="1"/>
  <c r="BC3" i="1" s="1"/>
  <c r="S3" i="1"/>
  <c r="AZ3" i="1" s="1"/>
  <c r="W3" i="1"/>
  <c r="BD3" i="1" s="1"/>
  <c r="O3" i="1"/>
  <c r="AV3" i="1" s="1"/>
  <c r="P3" i="1"/>
  <c r="AW3" i="1" s="1"/>
  <c r="X3" i="1"/>
  <c r="BE3" i="1" s="1"/>
  <c r="Q3" i="1"/>
  <c r="AX3" i="1" s="1"/>
  <c r="Y3" i="1"/>
  <c r="BF3" i="1" s="1"/>
  <c r="K33" i="1"/>
  <c r="AR33" i="1" s="1"/>
  <c r="R3" i="1"/>
  <c r="AY3" i="1" s="1"/>
  <c r="Z3" i="1"/>
  <c r="BG3" i="1" s="1"/>
  <c r="K3" i="1"/>
  <c r="AR3" i="1" s="1"/>
  <c r="L3" i="1"/>
  <c r="AS3" i="1" s="1"/>
  <c r="T3" i="1"/>
  <c r="BA3" i="1" s="1"/>
  <c r="AB33" i="1"/>
  <c r="AB3" i="1"/>
  <c r="F10" i="1"/>
  <c r="C12" i="1"/>
  <c r="C13" i="1"/>
  <c r="D13" i="1" s="1"/>
  <c r="C14" i="1"/>
  <c r="F14" i="1" s="1"/>
  <c r="F8" i="1"/>
  <c r="F7" i="1"/>
  <c r="C9" i="1"/>
  <c r="D9" i="1" s="1"/>
  <c r="F6" i="1"/>
  <c r="F5" i="1"/>
  <c r="C11" i="1"/>
  <c r="O15" i="1" l="1"/>
  <c r="AV15" i="1" s="1"/>
  <c r="W15" i="1"/>
  <c r="BD15" i="1" s="1"/>
  <c r="P15" i="1"/>
  <c r="AW15" i="1" s="1"/>
  <c r="X15" i="1"/>
  <c r="BE15" i="1" s="1"/>
  <c r="Q15" i="1"/>
  <c r="AX15" i="1" s="1"/>
  <c r="Y15" i="1"/>
  <c r="BF15" i="1" s="1"/>
  <c r="M15" i="1"/>
  <c r="AT15" i="1" s="1"/>
  <c r="R15" i="1"/>
  <c r="AY15" i="1" s="1"/>
  <c r="Z15" i="1"/>
  <c r="BG15" i="1" s="1"/>
  <c r="S15" i="1"/>
  <c r="AZ15" i="1" s="1"/>
  <c r="U15" i="1"/>
  <c r="BB15" i="1" s="1"/>
  <c r="L15" i="1"/>
  <c r="AS15" i="1" s="1"/>
  <c r="T15" i="1"/>
  <c r="BA15" i="1" s="1"/>
  <c r="N15" i="1"/>
  <c r="AU15" i="1" s="1"/>
  <c r="V15" i="1"/>
  <c r="BC15" i="1" s="1"/>
  <c r="P9" i="1"/>
  <c r="AW9" i="1" s="1"/>
  <c r="X9" i="1"/>
  <c r="BE9" i="1" s="1"/>
  <c r="N4" i="1"/>
  <c r="AU4" i="1" s="1"/>
  <c r="V4" i="1"/>
  <c r="BC4" i="1" s="1"/>
  <c r="Z4" i="1"/>
  <c r="BG4" i="1" s="1"/>
  <c r="BG5" i="1" s="1"/>
  <c r="M9" i="1"/>
  <c r="AT9" i="1" s="1"/>
  <c r="K4" i="1"/>
  <c r="AR4" i="1" s="1"/>
  <c r="M4" i="1"/>
  <c r="AT4" i="1" s="1"/>
  <c r="Q9" i="1"/>
  <c r="AX9" i="1" s="1"/>
  <c r="Y9" i="1"/>
  <c r="BF9" i="1" s="1"/>
  <c r="O4" i="1"/>
  <c r="AV4" i="1" s="1"/>
  <c r="W4" i="1"/>
  <c r="BD4" i="1" s="1"/>
  <c r="Z9" i="1"/>
  <c r="BG9" i="1" s="1"/>
  <c r="X4" i="1"/>
  <c r="BE4" i="1" s="1"/>
  <c r="W9" i="1"/>
  <c r="BD9" i="1" s="1"/>
  <c r="K15" i="1"/>
  <c r="AR15" i="1" s="1"/>
  <c r="R9" i="1"/>
  <c r="AY9" i="1" s="1"/>
  <c r="P4" i="1"/>
  <c r="AW4" i="1" s="1"/>
  <c r="U9" i="1"/>
  <c r="BB9" i="1" s="1"/>
  <c r="S4" i="1"/>
  <c r="AZ4" i="1" s="1"/>
  <c r="U4" i="1"/>
  <c r="BB4" i="1" s="1"/>
  <c r="S9" i="1"/>
  <c r="AZ9" i="1" s="1"/>
  <c r="K9" i="1"/>
  <c r="AR9" i="1" s="1"/>
  <c r="Q4" i="1"/>
  <c r="AX4" i="1" s="1"/>
  <c r="Y4" i="1"/>
  <c r="BF4" i="1" s="1"/>
  <c r="L9" i="1"/>
  <c r="AS9" i="1" s="1"/>
  <c r="T9" i="1"/>
  <c r="BA9" i="1" s="1"/>
  <c r="R4" i="1"/>
  <c r="AY4" i="1" s="1"/>
  <c r="N9" i="1"/>
  <c r="AU9" i="1" s="1"/>
  <c r="V9" i="1"/>
  <c r="BC9" i="1" s="1"/>
  <c r="L4" i="1"/>
  <c r="AS4" i="1" s="1"/>
  <c r="T4" i="1"/>
  <c r="BA4" i="1" s="1"/>
  <c r="O9" i="1"/>
  <c r="AV9" i="1" s="1"/>
  <c r="D11" i="1"/>
  <c r="AC34" i="1"/>
  <c r="AE34" i="1" s="1"/>
  <c r="AC27" i="1"/>
  <c r="AC22" i="1"/>
  <c r="AE22" i="1" s="1"/>
  <c r="AB4" i="1"/>
  <c r="AB9" i="1"/>
  <c r="AB15" i="1"/>
  <c r="D14" i="1"/>
  <c r="AB39" i="1" s="1"/>
  <c r="AC39" i="1"/>
  <c r="AE40" i="1" s="1"/>
  <c r="AB40" i="1"/>
  <c r="AB10" i="1"/>
  <c r="F13" i="1"/>
  <c r="D12" i="1"/>
  <c r="AB28" i="1" s="1"/>
  <c r="AC28" i="1"/>
  <c r="AE28" i="1" s="1"/>
  <c r="Y16" i="1"/>
  <c r="BF16" i="1" s="1"/>
  <c r="Q21" i="1"/>
  <c r="AX21" i="1" s="1"/>
  <c r="Y21" i="1"/>
  <c r="BF21" i="1" s="1"/>
  <c r="R16" i="1"/>
  <c r="AY16" i="1" s="1"/>
  <c r="Z16" i="1"/>
  <c r="BG16" i="1" s="1"/>
  <c r="BG17" i="1" s="1"/>
  <c r="R21" i="1"/>
  <c r="AY21" i="1" s="1"/>
  <c r="Z21" i="1"/>
  <c r="BG21" i="1" s="1"/>
  <c r="S16" i="1"/>
  <c r="AZ16" i="1" s="1"/>
  <c r="V21" i="1"/>
  <c r="BC21" i="1" s="1"/>
  <c r="X21" i="1"/>
  <c r="BE21" i="1" s="1"/>
  <c r="S21" i="1"/>
  <c r="AZ21" i="1" s="1"/>
  <c r="L16" i="1"/>
  <c r="AS16" i="1" s="1"/>
  <c r="T16" i="1"/>
  <c r="BA16" i="1" s="1"/>
  <c r="N21" i="1"/>
  <c r="AU21" i="1" s="1"/>
  <c r="P21" i="1"/>
  <c r="AW21" i="1" s="1"/>
  <c r="L21" i="1"/>
  <c r="AS21" i="1" s="1"/>
  <c r="T21" i="1"/>
  <c r="BA21" i="1" s="1"/>
  <c r="M16" i="1"/>
  <c r="AT16" i="1" s="1"/>
  <c r="U16" i="1"/>
  <c r="BB16" i="1" s="1"/>
  <c r="O16" i="1"/>
  <c r="AV16" i="1" s="1"/>
  <c r="M21" i="1"/>
  <c r="AT21" i="1" s="1"/>
  <c r="U21" i="1"/>
  <c r="BB21" i="1" s="1"/>
  <c r="N16" i="1"/>
  <c r="AU16" i="1" s="1"/>
  <c r="V16" i="1"/>
  <c r="BC16" i="1" s="1"/>
  <c r="W16" i="1"/>
  <c r="BD16" i="1" s="1"/>
  <c r="O21" i="1"/>
  <c r="AV21" i="1" s="1"/>
  <c r="W21" i="1"/>
  <c r="BD21" i="1" s="1"/>
  <c r="P16" i="1"/>
  <c r="AW16" i="1" s="1"/>
  <c r="X16" i="1"/>
  <c r="BE16" i="1" s="1"/>
  <c r="Q16" i="1"/>
  <c r="AX16" i="1" s="1"/>
  <c r="K21" i="1"/>
  <c r="AR21" i="1" s="1"/>
  <c r="K16" i="1"/>
  <c r="AR16" i="1" s="1"/>
  <c r="Y40" i="1"/>
  <c r="BF40" i="1" s="1"/>
  <c r="R40" i="1"/>
  <c r="AY40" i="1" s="1"/>
  <c r="Z40" i="1"/>
  <c r="BG40" i="1" s="1"/>
  <c r="S40" i="1"/>
  <c r="AZ40" i="1" s="1"/>
  <c r="L40" i="1"/>
  <c r="AS40" i="1" s="1"/>
  <c r="T40" i="1"/>
  <c r="BA40" i="1" s="1"/>
  <c r="O40" i="1"/>
  <c r="AV40" i="1" s="1"/>
  <c r="M40" i="1"/>
  <c r="AT40" i="1" s="1"/>
  <c r="U40" i="1"/>
  <c r="BB40" i="1" s="1"/>
  <c r="N40" i="1"/>
  <c r="AU40" i="1" s="1"/>
  <c r="V40" i="1"/>
  <c r="BC40" i="1" s="1"/>
  <c r="W40" i="1"/>
  <c r="BD40" i="1" s="1"/>
  <c r="Q40" i="1"/>
  <c r="AX40" i="1" s="1"/>
  <c r="P40" i="1"/>
  <c r="AW40" i="1" s="1"/>
  <c r="X40" i="1"/>
  <c r="BE40" i="1" s="1"/>
  <c r="P10" i="1"/>
  <c r="AW10" i="1" s="1"/>
  <c r="X10" i="1"/>
  <c r="BE10" i="1" s="1"/>
  <c r="Q10" i="1"/>
  <c r="AX10" i="1" s="1"/>
  <c r="R10" i="1"/>
  <c r="AY10" i="1" s="1"/>
  <c r="Y10" i="1"/>
  <c r="BF10" i="1" s="1"/>
  <c r="K40" i="1"/>
  <c r="AR40" i="1" s="1"/>
  <c r="S10" i="1"/>
  <c r="AZ10" i="1" s="1"/>
  <c r="K10" i="1"/>
  <c r="AR10" i="1" s="1"/>
  <c r="L10" i="1"/>
  <c r="AS10" i="1" s="1"/>
  <c r="T10" i="1"/>
  <c r="BA10" i="1" s="1"/>
  <c r="N10" i="1"/>
  <c r="AU10" i="1" s="1"/>
  <c r="M10" i="1"/>
  <c r="AT10" i="1" s="1"/>
  <c r="U10" i="1"/>
  <c r="BB10" i="1" s="1"/>
  <c r="V10" i="1"/>
  <c r="BC10" i="1" s="1"/>
  <c r="O10" i="1"/>
  <c r="AV10" i="1" s="1"/>
  <c r="W10" i="1"/>
  <c r="BD10" i="1" s="1"/>
  <c r="Z10" i="1"/>
  <c r="BG10" i="1" s="1"/>
  <c r="BG11" i="1" s="1"/>
  <c r="S39" i="1"/>
  <c r="AZ39" i="1" s="1"/>
  <c r="L39" i="1"/>
  <c r="AS39" i="1" s="1"/>
  <c r="T39" i="1"/>
  <c r="BA39" i="1" s="1"/>
  <c r="X39" i="1"/>
  <c r="BE39" i="1" s="1"/>
  <c r="M39" i="1"/>
  <c r="AT39" i="1" s="1"/>
  <c r="U39" i="1"/>
  <c r="BB39" i="1" s="1"/>
  <c r="Z39" i="1"/>
  <c r="BG39" i="1" s="1"/>
  <c r="BG41" i="1" s="1"/>
  <c r="N39" i="1"/>
  <c r="AU39" i="1" s="1"/>
  <c r="V39" i="1"/>
  <c r="BC39" i="1" s="1"/>
  <c r="P39" i="1"/>
  <c r="AW39" i="1" s="1"/>
  <c r="O39" i="1"/>
  <c r="AV39" i="1" s="1"/>
  <c r="W39" i="1"/>
  <c r="BD39" i="1" s="1"/>
  <c r="Q39" i="1"/>
  <c r="AX39" i="1" s="1"/>
  <c r="Y39" i="1"/>
  <c r="BF39" i="1" s="1"/>
  <c r="R39" i="1"/>
  <c r="AY39" i="1" s="1"/>
  <c r="K39" i="1"/>
  <c r="AR39" i="1" s="1"/>
  <c r="AB21" i="1"/>
  <c r="AB16" i="1"/>
  <c r="F12" i="1"/>
  <c r="F11" i="1"/>
  <c r="C15" i="1"/>
  <c r="D15" i="1" s="1"/>
  <c r="F9" i="1"/>
  <c r="BF2" i="1" l="1"/>
  <c r="BF5" i="1" s="1"/>
  <c r="BG6" i="1"/>
  <c r="Z6" i="1" s="1"/>
  <c r="AB27" i="1"/>
  <c r="AB22" i="1"/>
  <c r="AB34" i="1"/>
  <c r="L34" i="1"/>
  <c r="AS34" i="1" s="1"/>
  <c r="T34" i="1"/>
  <c r="BA34" i="1" s="1"/>
  <c r="M27" i="1"/>
  <c r="AT27" i="1" s="1"/>
  <c r="U27" i="1"/>
  <c r="BB27" i="1" s="1"/>
  <c r="N22" i="1"/>
  <c r="AU22" i="1" s="1"/>
  <c r="V22" i="1"/>
  <c r="BC22" i="1" s="1"/>
  <c r="T22" i="1"/>
  <c r="BA22" i="1" s="1"/>
  <c r="M34" i="1"/>
  <c r="AT34" i="1" s="1"/>
  <c r="U34" i="1"/>
  <c r="BB34" i="1" s="1"/>
  <c r="N27" i="1"/>
  <c r="AU27" i="1" s="1"/>
  <c r="V27" i="1"/>
  <c r="BC27" i="1" s="1"/>
  <c r="O22" i="1"/>
  <c r="AV22" i="1" s="1"/>
  <c r="W22" i="1"/>
  <c r="BD22" i="1" s="1"/>
  <c r="N34" i="1"/>
  <c r="AU34" i="1" s="1"/>
  <c r="V34" i="1"/>
  <c r="BC34" i="1" s="1"/>
  <c r="O27" i="1"/>
  <c r="AV27" i="1" s="1"/>
  <c r="W27" i="1"/>
  <c r="BD27" i="1" s="1"/>
  <c r="P22" i="1"/>
  <c r="AW22" i="1" s="1"/>
  <c r="X22" i="1"/>
  <c r="BE22" i="1" s="1"/>
  <c r="S27" i="1"/>
  <c r="AZ27" i="1" s="1"/>
  <c r="L22" i="1"/>
  <c r="AS22" i="1" s="1"/>
  <c r="O34" i="1"/>
  <c r="AV34" i="1" s="1"/>
  <c r="W34" i="1"/>
  <c r="BD34" i="1" s="1"/>
  <c r="P27" i="1"/>
  <c r="AW27" i="1" s="1"/>
  <c r="X27" i="1"/>
  <c r="BE27" i="1" s="1"/>
  <c r="Q22" i="1"/>
  <c r="AX22" i="1" s="1"/>
  <c r="Y22" i="1"/>
  <c r="BF22" i="1" s="1"/>
  <c r="P34" i="1"/>
  <c r="AW34" i="1" s="1"/>
  <c r="X34" i="1"/>
  <c r="BE34" i="1" s="1"/>
  <c r="Q27" i="1"/>
  <c r="AX27" i="1" s="1"/>
  <c r="Y27" i="1"/>
  <c r="BF27" i="1" s="1"/>
  <c r="R22" i="1"/>
  <c r="AY22" i="1" s="1"/>
  <c r="Z22" i="1"/>
  <c r="BG22" i="1" s="1"/>
  <c r="BG23" i="1" s="1"/>
  <c r="Z34" i="1"/>
  <c r="BG34" i="1" s="1"/>
  <c r="BG35" i="1" s="1"/>
  <c r="Q34" i="1"/>
  <c r="AX34" i="1" s="1"/>
  <c r="Y34" i="1"/>
  <c r="BF34" i="1" s="1"/>
  <c r="R27" i="1"/>
  <c r="AY27" i="1" s="1"/>
  <c r="Z27" i="1"/>
  <c r="BG27" i="1" s="1"/>
  <c r="S22" i="1"/>
  <c r="AZ22" i="1" s="1"/>
  <c r="R34" i="1"/>
  <c r="AY34" i="1" s="1"/>
  <c r="S34" i="1"/>
  <c r="AZ34" i="1" s="1"/>
  <c r="L27" i="1"/>
  <c r="AS27" i="1" s="1"/>
  <c r="T27" i="1"/>
  <c r="BA27" i="1" s="1"/>
  <c r="M22" i="1"/>
  <c r="AT22" i="1" s="1"/>
  <c r="U22" i="1"/>
  <c r="BB22" i="1" s="1"/>
  <c r="K34" i="1"/>
  <c r="AR34" i="1" s="1"/>
  <c r="K27" i="1"/>
  <c r="AR27" i="1" s="1"/>
  <c r="K22" i="1"/>
  <c r="AR22" i="1" s="1"/>
  <c r="BE2" i="1"/>
  <c r="BE5" i="1" s="1"/>
  <c r="BF6" i="1"/>
  <c r="Y6" i="1" s="1"/>
  <c r="U28" i="1"/>
  <c r="BB28" i="1" s="1"/>
  <c r="N28" i="1"/>
  <c r="AU28" i="1" s="1"/>
  <c r="V28" i="1"/>
  <c r="BC28" i="1" s="1"/>
  <c r="O28" i="1"/>
  <c r="AV28" i="1" s="1"/>
  <c r="W28" i="1"/>
  <c r="BD28" i="1" s="1"/>
  <c r="P28" i="1"/>
  <c r="AW28" i="1" s="1"/>
  <c r="X28" i="1"/>
  <c r="BE28" i="1" s="1"/>
  <c r="Q28" i="1"/>
  <c r="AX28" i="1" s="1"/>
  <c r="Y28" i="1"/>
  <c r="BF28" i="1" s="1"/>
  <c r="R28" i="1"/>
  <c r="AY28" i="1" s="1"/>
  <c r="Z28" i="1"/>
  <c r="BG28" i="1" s="1"/>
  <c r="BG29" i="1" s="1"/>
  <c r="S28" i="1"/>
  <c r="AZ28" i="1" s="1"/>
  <c r="L28" i="1"/>
  <c r="AS28" i="1" s="1"/>
  <c r="T28" i="1"/>
  <c r="BA28" i="1" s="1"/>
  <c r="M28" i="1"/>
  <c r="AT28" i="1" s="1"/>
  <c r="K28" i="1"/>
  <c r="AR28" i="1" s="1"/>
  <c r="BG12" i="1"/>
  <c r="Z12" i="1" s="1"/>
  <c r="BF8" i="1"/>
  <c r="BF11" i="1" s="1"/>
  <c r="BG42" i="1"/>
  <c r="Z42" i="1" s="1"/>
  <c r="BF38" i="1"/>
  <c r="BF41" i="1" s="1"/>
  <c r="BG18" i="1"/>
  <c r="Z18" i="1" s="1"/>
  <c r="BF14" i="1"/>
  <c r="BF17" i="1" s="1"/>
  <c r="F15" i="1"/>
  <c r="BG24" i="1" l="1"/>
  <c r="Z24" i="1" s="1"/>
  <c r="BF20" i="1"/>
  <c r="BF23" i="1" s="1"/>
  <c r="BF24" i="1" s="1"/>
  <c r="Y24" i="1" s="1"/>
  <c r="BG36" i="1"/>
  <c r="Z36" i="1" s="1"/>
  <c r="BF32" i="1"/>
  <c r="BF35" i="1" s="1"/>
  <c r="BD2" i="1"/>
  <c r="BD5" i="1" s="1"/>
  <c r="BE6" i="1"/>
  <c r="X6" i="1" s="1"/>
  <c r="BF42" i="1"/>
  <c r="Y42" i="1" s="1"/>
  <c r="BE38" i="1"/>
  <c r="BE41" i="1" s="1"/>
  <c r="BE8" i="1"/>
  <c r="BE11" i="1" s="1"/>
  <c r="BF12" i="1"/>
  <c r="Y12" i="1" s="1"/>
  <c r="BG30" i="1"/>
  <c r="Z30" i="1" s="1"/>
  <c r="BF26" i="1"/>
  <c r="BF29" i="1" s="1"/>
  <c r="BE14" i="1"/>
  <c r="BE17" i="1" s="1"/>
  <c r="BF18" i="1"/>
  <c r="Y18" i="1" s="1"/>
  <c r="BE32" i="1" l="1"/>
  <c r="BE35" i="1" s="1"/>
  <c r="BF36" i="1"/>
  <c r="Y36" i="1" s="1"/>
  <c r="BE20" i="1"/>
  <c r="BE23" i="1" s="1"/>
  <c r="BD20" i="1" s="1"/>
  <c r="BD23" i="1" s="1"/>
  <c r="BE26" i="1"/>
  <c r="BE29" i="1" s="1"/>
  <c r="BF30" i="1"/>
  <c r="Y30" i="1" s="1"/>
  <c r="BD8" i="1"/>
  <c r="BD11" i="1" s="1"/>
  <c r="BE12" i="1"/>
  <c r="X12" i="1" s="1"/>
  <c r="BE24" i="1"/>
  <c r="X24" i="1" s="1"/>
  <c r="BD38" i="1"/>
  <c r="BD41" i="1" s="1"/>
  <c r="BE42" i="1"/>
  <c r="X42" i="1" s="1"/>
  <c r="BD14" i="1"/>
  <c r="BD17" i="1" s="1"/>
  <c r="BE18" i="1"/>
  <c r="X18" i="1" s="1"/>
  <c r="BD6" i="1"/>
  <c r="W6" i="1" s="1"/>
  <c r="BC2" i="1"/>
  <c r="BC5" i="1" s="1"/>
  <c r="BE36" i="1" l="1"/>
  <c r="X36" i="1" s="1"/>
  <c r="BD32" i="1"/>
  <c r="BD35" i="1" s="1"/>
  <c r="BD18" i="1"/>
  <c r="W18" i="1" s="1"/>
  <c r="BC14" i="1"/>
  <c r="BC17" i="1" s="1"/>
  <c r="BC6" i="1"/>
  <c r="V6" i="1" s="1"/>
  <c r="BB2" i="1"/>
  <c r="BB5" i="1" s="1"/>
  <c r="BD24" i="1"/>
  <c r="W24" i="1" s="1"/>
  <c r="BC20" i="1"/>
  <c r="BC23" i="1" s="1"/>
  <c r="BD12" i="1"/>
  <c r="W12" i="1" s="1"/>
  <c r="BC8" i="1"/>
  <c r="BC11" i="1" s="1"/>
  <c r="BC38" i="1"/>
  <c r="BC41" i="1" s="1"/>
  <c r="BD42" i="1"/>
  <c r="W42" i="1" s="1"/>
  <c r="BE30" i="1"/>
  <c r="X30" i="1" s="1"/>
  <c r="BD26" i="1"/>
  <c r="BD29" i="1" s="1"/>
  <c r="BD36" i="1" l="1"/>
  <c r="W36" i="1" s="1"/>
  <c r="BC32" i="1"/>
  <c r="BC35" i="1" s="1"/>
  <c r="BC24" i="1"/>
  <c r="V24" i="1" s="1"/>
  <c r="BB20" i="1"/>
  <c r="BB23" i="1" s="1"/>
  <c r="BB6" i="1"/>
  <c r="U6" i="1" s="1"/>
  <c r="BA2" i="1"/>
  <c r="BA5" i="1" s="1"/>
  <c r="BC42" i="1"/>
  <c r="V42" i="1" s="1"/>
  <c r="BB38" i="1"/>
  <c r="BB41" i="1" s="1"/>
  <c r="BB14" i="1"/>
  <c r="BB17" i="1" s="1"/>
  <c r="BC18" i="1"/>
  <c r="V18" i="1" s="1"/>
  <c r="BC26" i="1"/>
  <c r="BC29" i="1" s="1"/>
  <c r="BD30" i="1"/>
  <c r="W30" i="1" s="1"/>
  <c r="BC12" i="1"/>
  <c r="V12" i="1" s="1"/>
  <c r="BB8" i="1"/>
  <c r="BB11" i="1" s="1"/>
  <c r="BC36" i="1" l="1"/>
  <c r="V36" i="1" s="1"/>
  <c r="BB32" i="1"/>
  <c r="BB35" i="1" s="1"/>
  <c r="BB42" i="1"/>
  <c r="U42" i="1" s="1"/>
  <c r="BA38" i="1"/>
  <c r="BA41" i="1" s="1"/>
  <c r="BA6" i="1"/>
  <c r="T6" i="1" s="1"/>
  <c r="AZ2" i="1"/>
  <c r="AZ5" i="1" s="1"/>
  <c r="BC30" i="1"/>
  <c r="V30" i="1" s="1"/>
  <c r="BB26" i="1"/>
  <c r="BB29" i="1" s="1"/>
  <c r="BA8" i="1"/>
  <c r="BA11" i="1" s="1"/>
  <c r="BB12" i="1"/>
  <c r="U12" i="1" s="1"/>
  <c r="BB24" i="1"/>
  <c r="U24" i="1" s="1"/>
  <c r="BA20" i="1"/>
  <c r="BA23" i="1" s="1"/>
  <c r="BB18" i="1"/>
  <c r="U18" i="1" s="1"/>
  <c r="BA14" i="1"/>
  <c r="BA17" i="1" s="1"/>
  <c r="BA32" i="1" l="1"/>
  <c r="BA35" i="1" s="1"/>
  <c r="BB36" i="1"/>
  <c r="U36" i="1" s="1"/>
  <c r="AZ6" i="1"/>
  <c r="S6" i="1" s="1"/>
  <c r="AY2" i="1"/>
  <c r="AY5" i="1" s="1"/>
  <c r="AZ20" i="1"/>
  <c r="AZ23" i="1" s="1"/>
  <c r="BA24" i="1"/>
  <c r="T24" i="1" s="1"/>
  <c r="BA26" i="1"/>
  <c r="BA29" i="1" s="1"/>
  <c r="BB30" i="1"/>
  <c r="U30" i="1" s="1"/>
  <c r="BA42" i="1"/>
  <c r="T42" i="1" s="1"/>
  <c r="AZ38" i="1"/>
  <c r="AZ41" i="1" s="1"/>
  <c r="AZ14" i="1"/>
  <c r="AZ17" i="1" s="1"/>
  <c r="BA18" i="1"/>
  <c r="T18" i="1" s="1"/>
  <c r="BA12" i="1"/>
  <c r="T12" i="1" s="1"/>
  <c r="AZ8" i="1"/>
  <c r="AZ11" i="1" s="1"/>
  <c r="BA36" i="1" l="1"/>
  <c r="T36" i="1" s="1"/>
  <c r="AZ32" i="1"/>
  <c r="AZ35" i="1" s="1"/>
  <c r="AY8" i="1"/>
  <c r="AY11" i="1" s="1"/>
  <c r="AZ12" i="1"/>
  <c r="S12" i="1" s="1"/>
  <c r="AZ24" i="1"/>
  <c r="S24" i="1" s="1"/>
  <c r="AY20" i="1"/>
  <c r="AY23" i="1" s="1"/>
  <c r="AY14" i="1"/>
  <c r="AY17" i="1" s="1"/>
  <c r="AZ18" i="1"/>
  <c r="S18" i="1" s="1"/>
  <c r="AX2" i="1"/>
  <c r="AX5" i="1" s="1"/>
  <c r="AY6" i="1"/>
  <c r="R6" i="1" s="1"/>
  <c r="AZ26" i="1"/>
  <c r="AZ29" i="1" s="1"/>
  <c r="BA30" i="1"/>
  <c r="T30" i="1" s="1"/>
  <c r="AY38" i="1"/>
  <c r="AY41" i="1" s="1"/>
  <c r="AZ42" i="1"/>
  <c r="S42" i="1" s="1"/>
  <c r="AY32" i="1" l="1"/>
  <c r="AY35" i="1" s="1"/>
  <c r="AZ36" i="1"/>
  <c r="S36" i="1" s="1"/>
  <c r="AY18" i="1"/>
  <c r="R18" i="1" s="1"/>
  <c r="AX14" i="1"/>
  <c r="AX17" i="1" s="1"/>
  <c r="AY26" i="1"/>
  <c r="AY29" i="1" s="1"/>
  <c r="AZ30" i="1"/>
  <c r="S30" i="1" s="1"/>
  <c r="AY24" i="1"/>
  <c r="R24" i="1" s="1"/>
  <c r="AX20" i="1"/>
  <c r="AX23" i="1" s="1"/>
  <c r="AX38" i="1"/>
  <c r="AX41" i="1" s="1"/>
  <c r="AY42" i="1"/>
  <c r="R42" i="1" s="1"/>
  <c r="AW2" i="1"/>
  <c r="AW5" i="1" s="1"/>
  <c r="AX6" i="1"/>
  <c r="Q6" i="1" s="1"/>
  <c r="AY12" i="1"/>
  <c r="R12" i="1" s="1"/>
  <c r="AX8" i="1"/>
  <c r="AX11" i="1" s="1"/>
  <c r="AY36" i="1" l="1"/>
  <c r="R36" i="1" s="1"/>
  <c r="AX32" i="1"/>
  <c r="AX35" i="1" s="1"/>
  <c r="AY30" i="1"/>
  <c r="R30" i="1" s="1"/>
  <c r="AX26" i="1"/>
  <c r="AX29" i="1" s="1"/>
  <c r="AX18" i="1"/>
  <c r="Q18" i="1" s="1"/>
  <c r="AW14" i="1"/>
  <c r="AW17" i="1" s="1"/>
  <c r="AW20" i="1"/>
  <c r="AW23" i="1" s="1"/>
  <c r="AX24" i="1"/>
  <c r="Q24" i="1" s="1"/>
  <c r="AV2" i="1"/>
  <c r="AV5" i="1" s="1"/>
  <c r="AW6" i="1"/>
  <c r="P6" i="1" s="1"/>
  <c r="AW8" i="1"/>
  <c r="AW11" i="1" s="1"/>
  <c r="AX12" i="1"/>
  <c r="Q12" i="1" s="1"/>
  <c r="AX42" i="1"/>
  <c r="Q42" i="1" s="1"/>
  <c r="AW38" i="1"/>
  <c r="AW41" i="1" s="1"/>
  <c r="AX36" i="1" l="1"/>
  <c r="Q36" i="1" s="1"/>
  <c r="AW32" i="1"/>
  <c r="AW35" i="1" s="1"/>
  <c r="AW24" i="1"/>
  <c r="P24" i="1" s="1"/>
  <c r="AV20" i="1"/>
  <c r="AV23" i="1" s="1"/>
  <c r="AW12" i="1"/>
  <c r="P12" i="1" s="1"/>
  <c r="AV8" i="1"/>
  <c r="AV11" i="1" s="1"/>
  <c r="AW42" i="1"/>
  <c r="P42" i="1" s="1"/>
  <c r="AV38" i="1"/>
  <c r="AV41" i="1" s="1"/>
  <c r="AW18" i="1"/>
  <c r="P18" i="1" s="1"/>
  <c r="AV14" i="1"/>
  <c r="AV17" i="1" s="1"/>
  <c r="AW26" i="1"/>
  <c r="AW29" i="1" s="1"/>
  <c r="AX30" i="1"/>
  <c r="Q30" i="1" s="1"/>
  <c r="AU2" i="1"/>
  <c r="AU5" i="1" s="1"/>
  <c r="AV6" i="1"/>
  <c r="O6" i="1" s="1"/>
  <c r="AW36" i="1" l="1"/>
  <c r="P36" i="1" s="1"/>
  <c r="AV32" i="1"/>
  <c r="AV35" i="1" s="1"/>
  <c r="AV18" i="1"/>
  <c r="O18" i="1" s="1"/>
  <c r="AU14" i="1"/>
  <c r="AU17" i="1" s="1"/>
  <c r="AV42" i="1"/>
  <c r="O42" i="1" s="1"/>
  <c r="AU38" i="1"/>
  <c r="AU41" i="1" s="1"/>
  <c r="AV12" i="1"/>
  <c r="O12" i="1" s="1"/>
  <c r="AU8" i="1"/>
  <c r="AU11" i="1" s="1"/>
  <c r="AT2" i="1"/>
  <c r="AT5" i="1" s="1"/>
  <c r="AU6" i="1"/>
  <c r="N6" i="1" s="1"/>
  <c r="AV24" i="1"/>
  <c r="O24" i="1" s="1"/>
  <c r="AU20" i="1"/>
  <c r="AU23" i="1" s="1"/>
  <c r="AW30" i="1"/>
  <c r="P30" i="1" s="1"/>
  <c r="AV26" i="1"/>
  <c r="AV29" i="1" s="1"/>
  <c r="AU32" i="1" l="1"/>
  <c r="AU35" i="1" s="1"/>
  <c r="AV36" i="1"/>
  <c r="O36" i="1" s="1"/>
  <c r="AT8" i="1"/>
  <c r="AT11" i="1" s="1"/>
  <c r="AU12" i="1"/>
  <c r="N12" i="1" s="1"/>
  <c r="AU42" i="1"/>
  <c r="N42" i="1" s="1"/>
  <c r="AT38" i="1"/>
  <c r="AT41" i="1" s="1"/>
  <c r="AS2" i="1"/>
  <c r="AS5" i="1" s="1"/>
  <c r="AT6" i="1"/>
  <c r="M6" i="1" s="1"/>
  <c r="AV30" i="1"/>
  <c r="O30" i="1" s="1"/>
  <c r="AU26" i="1"/>
  <c r="AU29" i="1" s="1"/>
  <c r="AU18" i="1"/>
  <c r="N18" i="1" s="1"/>
  <c r="AT14" i="1"/>
  <c r="AT17" i="1" s="1"/>
  <c r="AT20" i="1"/>
  <c r="AT23" i="1" s="1"/>
  <c r="AU24" i="1"/>
  <c r="N24" i="1" s="1"/>
  <c r="AT32" i="1" l="1"/>
  <c r="AT35" i="1" s="1"/>
  <c r="AU36" i="1"/>
  <c r="N36" i="1" s="1"/>
  <c r="AS6" i="1"/>
  <c r="L6" i="1" s="1"/>
  <c r="AB7" i="1" s="1"/>
  <c r="AB6" i="1" s="1"/>
  <c r="AE3" i="1" s="1"/>
  <c r="AR2" i="1"/>
  <c r="AR5" i="1" s="1"/>
  <c r="AR6" i="1" s="1"/>
  <c r="K6" i="1" s="1"/>
  <c r="AT42" i="1"/>
  <c r="M42" i="1" s="1"/>
  <c r="AS38" i="1"/>
  <c r="AS41" i="1" s="1"/>
  <c r="AT18" i="1"/>
  <c r="M18" i="1" s="1"/>
  <c r="AS14" i="1"/>
  <c r="AS17" i="1" s="1"/>
  <c r="AU30" i="1"/>
  <c r="N30" i="1" s="1"/>
  <c r="AT26" i="1"/>
  <c r="AT29" i="1" s="1"/>
  <c r="AS20" i="1"/>
  <c r="AS23" i="1" s="1"/>
  <c r="AT24" i="1"/>
  <c r="M24" i="1" s="1"/>
  <c r="AS8" i="1"/>
  <c r="AS11" i="1" s="1"/>
  <c r="AT12" i="1"/>
  <c r="M12" i="1" s="1"/>
  <c r="AS32" i="1" l="1"/>
  <c r="AS35" i="1" s="1"/>
  <c r="AT36" i="1"/>
  <c r="M36" i="1" s="1"/>
  <c r="AR14" i="1"/>
  <c r="AR17" i="1" s="1"/>
  <c r="AR18" i="1" s="1"/>
  <c r="K18" i="1" s="1"/>
  <c r="AS18" i="1"/>
  <c r="L18" i="1" s="1"/>
  <c r="AB19" i="1" s="1"/>
  <c r="AS42" i="1"/>
  <c r="L42" i="1" s="1"/>
  <c r="AB43" i="1" s="1"/>
  <c r="AR38" i="1"/>
  <c r="AR41" i="1" s="1"/>
  <c r="AR42" i="1" s="1"/>
  <c r="K42" i="1" s="1"/>
  <c r="AS12" i="1"/>
  <c r="L12" i="1" s="1"/>
  <c r="AB13" i="1" s="1"/>
  <c r="AB12" i="1" s="1"/>
  <c r="AE9" i="1" s="1"/>
  <c r="AR8" i="1"/>
  <c r="AR11" i="1" s="1"/>
  <c r="AR12" i="1" s="1"/>
  <c r="K12" i="1" s="1"/>
  <c r="AS24" i="1"/>
  <c r="L24" i="1" s="1"/>
  <c r="AB25" i="1" s="1"/>
  <c r="AR20" i="1"/>
  <c r="AR23" i="1" s="1"/>
  <c r="AR24" i="1" s="1"/>
  <c r="K24" i="1" s="1"/>
  <c r="AS26" i="1"/>
  <c r="AS29" i="1" s="1"/>
  <c r="AT30" i="1"/>
  <c r="M30" i="1" s="1"/>
  <c r="AR32" i="1" l="1"/>
  <c r="AR35" i="1" s="1"/>
  <c r="AR36" i="1" s="1"/>
  <c r="K36" i="1" s="1"/>
  <c r="AS36" i="1"/>
  <c r="L36" i="1" s="1"/>
  <c r="AB37" i="1" s="1"/>
  <c r="AB42" i="1"/>
  <c r="AE39" i="1" s="1"/>
  <c r="AR26" i="1"/>
  <c r="AR29" i="1" s="1"/>
  <c r="AR30" i="1" s="1"/>
  <c r="K30" i="1" s="1"/>
  <c r="AS30" i="1"/>
  <c r="L30" i="1" s="1"/>
  <c r="AB31" i="1" s="1"/>
  <c r="AB24" i="1"/>
  <c r="AE21" i="1" s="1"/>
  <c r="AB18" i="1"/>
  <c r="AE15" i="1" s="1"/>
  <c r="AB36" i="1" l="1"/>
  <c r="AE33" i="1" s="1"/>
  <c r="AB30" i="1"/>
  <c r="AE27" i="1" s="1"/>
  <c r="AJ4" i="1"/>
  <c r="AQ6" i="1"/>
  <c r="AQ5" i="1"/>
  <c r="AQ2" i="1"/>
  <c r="AG4" i="1"/>
  <c r="AQ2" i="1" a="1"/>
  <c r="AL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tc={5C498E3A-79D6-4B04-97A9-D4116D59EE53}</author>
  </authors>
  <commentList>
    <comment ref="AB3" authorId="0" shapeId="0" xr:uid="{5C498E3A-79D6-4B04-97A9-D4116D59EE53}">
      <text>
        <t>[Цепочка примечаний]
Ваша версия Excel позволяет прочитать эту цепочку примечаний, но если открыть файл в более поздней версии Excel, все внесенные в нее изменения будут удалены. Подробнее: https://go.microsoft.com/fwlink/?linkid=870924
Комментарий:
    Это вручную надо задавать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<sst xmlns="http://schemas.openxmlformats.org/spreadsheetml/2006/main" count="267" uniqueCount="73">
  <si>
    <t>A=</t>
  </si>
  <si>
    <t>C=</t>
  </si>
  <si>
    <t>X1=</t>
  </si>
  <si>
    <t>X2=</t>
  </si>
  <si>
    <t>X3=</t>
  </si>
  <si>
    <t>X4=</t>
  </si>
  <si>
    <t>X12=</t>
  </si>
  <si>
    <t>X11=</t>
  </si>
  <si>
    <t>X10=</t>
  </si>
  <si>
    <t>X9=</t>
  </si>
  <si>
    <t>X8=</t>
  </si>
  <si>
    <t>X7=</t>
  </si>
  <si>
    <t>X6=</t>
  </si>
  <si>
    <t>X5=</t>
  </si>
  <si>
    <t>A + C=</t>
  </si>
  <si>
    <t>A + C + C=</t>
  </si>
  <si>
    <t>C - A=</t>
  </si>
  <si>
    <t>65536 - X4=</t>
  </si>
  <si>
    <t>- X1=</t>
  </si>
  <si>
    <t>- X2=</t>
  </si>
  <si>
    <t>- X3=</t>
  </si>
  <si>
    <t>- X5=</t>
  </si>
  <si>
    <t>- X4=</t>
  </si>
  <si>
    <t>- X6=</t>
  </si>
  <si>
    <t>B1=</t>
  </si>
  <si>
    <t>B2=</t>
  </si>
  <si>
    <t>B3=</t>
  </si>
  <si>
    <t>B4=</t>
  </si>
  <si>
    <t>B5=</t>
  </si>
  <si>
    <t>B6=</t>
  </si>
  <si>
    <t>B7=</t>
  </si>
  <si>
    <t>B8=</t>
  </si>
  <si>
    <t>B9=</t>
  </si>
  <si>
    <t>B10=</t>
  </si>
  <si>
    <t>B11=</t>
  </si>
  <si>
    <t>B12=</t>
  </si>
  <si>
    <t>B1+B2, B2+B3, B2+B7, B7+B8, B8+B9, B1+B8, B11+B3</t>
  </si>
  <si>
    <t>+</t>
  </si>
  <si>
    <r>
      <t>B1</t>
    </r>
    <r>
      <rPr>
        <sz val="8"/>
        <color theme="1"/>
        <rFont val="Calibri"/>
        <family val="2"/>
        <scheme val="minor"/>
      </rPr>
      <t>(2)</t>
    </r>
  </si>
  <si>
    <r>
      <t>B2</t>
    </r>
    <r>
      <rPr>
        <sz val="8"/>
        <color theme="1"/>
        <rFont val="Calibri"/>
        <family val="2"/>
        <scheme val="minor"/>
      </rPr>
      <t>(2)</t>
    </r>
  </si>
  <si>
    <t>-------</t>
  </si>
  <si>
    <t>--</t>
  </si>
  <si>
    <t>=</t>
  </si>
  <si>
    <t>Промежуточные значения</t>
  </si>
  <si>
    <t>B1+B2=</t>
  </si>
  <si>
    <t>(10)</t>
  </si>
  <si>
    <t>qq</t>
  </si>
  <si>
    <t>X1+X2=</t>
  </si>
  <si>
    <r>
      <t>B3</t>
    </r>
    <r>
      <rPr>
        <sz val="8"/>
        <color theme="1"/>
        <rFont val="Calibri"/>
        <family val="2"/>
        <scheme val="minor"/>
      </rPr>
      <t>(2)</t>
    </r>
  </si>
  <si>
    <t>B2+B3=</t>
  </si>
  <si>
    <t>X2+X3=</t>
  </si>
  <si>
    <r>
      <t>B7</t>
    </r>
    <r>
      <rPr>
        <sz val="8"/>
        <color theme="1"/>
        <rFont val="Calibri"/>
        <family val="2"/>
        <scheme val="minor"/>
      </rPr>
      <t>(2)</t>
    </r>
  </si>
  <si>
    <t>B</t>
  </si>
  <si>
    <t>X</t>
  </si>
  <si>
    <r>
      <t>B8</t>
    </r>
    <r>
      <rPr>
        <sz val="8"/>
        <color theme="1"/>
        <rFont val="Calibri"/>
        <family val="2"/>
        <scheme val="minor"/>
      </rPr>
      <t>(2)</t>
    </r>
  </si>
  <si>
    <r>
      <t>B9</t>
    </r>
    <r>
      <rPr>
        <sz val="8"/>
        <color theme="1"/>
        <rFont val="Calibri"/>
        <family val="2"/>
        <scheme val="minor"/>
      </rPr>
      <t>(2)</t>
    </r>
  </si>
  <si>
    <r>
      <t>B11</t>
    </r>
    <r>
      <rPr>
        <sz val="8"/>
        <color theme="1"/>
        <rFont val="Calibri"/>
        <family val="2"/>
        <scheme val="minor"/>
      </rPr>
      <t>(2)</t>
    </r>
  </si>
  <si>
    <t>B2+B7=</t>
  </si>
  <si>
    <t>X2+X7=</t>
  </si>
  <si>
    <t>B7+B8=</t>
  </si>
  <si>
    <t>X7+X8=</t>
  </si>
  <si>
    <t>B8+B9=</t>
  </si>
  <si>
    <t>X8+X9=</t>
  </si>
  <si>
    <t>B1+B8=</t>
  </si>
  <si>
    <t>X1+X8=</t>
  </si>
  <si>
    <t>B11+B3=</t>
  </si>
  <si>
    <t>X11+X3=</t>
  </si>
  <si>
    <t>СF</t>
  </si>
  <si>
    <t>PF</t>
  </si>
  <si>
    <t>AF</t>
  </si>
  <si>
    <t>ZF</t>
  </si>
  <si>
    <t>SF</t>
  </si>
  <si>
    <t>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</si>
</sst>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3"/>
      <color rgb="FF000000"/>
      <name val="Roboto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2" fontId="1" fillId="0" borderId="0" xfId="0" applyNumberFormat="1" applyFont="1"/>
    <xf numFmtId="0" fontId="0" fillId="0" borderId="0" xfId="0" applyAlignment="1">
      <alignment horizontal="center" vertical="top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0" fillId="0" borderId="0" xfId="0" quotePrefix="1" applyAlignment="1">
      <alignment horizontal="center"/>
    </xf>
    <xf numFmtId="2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  <xf numFmtId="49" fontId="2" fillId="0" borderId="0" xfId="0" applyNumberFormat="1" applyFont="1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left"/>
    </xf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left" vertical="top"/>
    </xf>
  </cellXfs>
  <cellStyles count="1">
    <cellStyle name="Обычный" xfId="0" builtinId="0"/>
  </cellStyles>
  <dxfs count="7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Пономарёв Михаил" id="{523EBBD6-4333-48AD-AF0F-16CE870A03CF}" userId="Пономарёв Михаил" providerId="None"/>
</personLis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3" dT="2022-12-01T15:30:58.46" personId="{523EBBD6-4333-48AD-AF0F-16CE870A03CF}" id="{5C498E3A-79D6-4B04-97A9-D4116D59EE53}" done="1">
    <text>Это вручную надо задавать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91B7A-7056-4ABA-8B33-A00D32EEDC89}">
  <sheetPr codeName="Worksheet____1"/>
  <dimension ref="A1:BG43"/>
  <sheetViews>
    <sheetView tabSelected="1" zoomScaleNormal="100" workbookViewId="0">
      <selection activeCell="H14" sqref="H14"/>
    </sheetView>
  </sheetViews>
  <sheetFormatPr defaultRowHeight="14" x14ac:dyDescent="0.3"/>
  <cols>
    <col min="1" max="1" width="5.8984375" customWidth="1"/>
    <col min="2" max="2" width="11.19921875" customWidth="1"/>
    <col min="4" max="4" width="25.796875" customWidth="1"/>
    <col min="5" max="5" width="6.19921875" customWidth="1"/>
    <col min="6" max="6" width="22.69921875" customWidth="1"/>
    <col min="7" max="7" width="28.8984375" customWidth="1"/>
    <col min="8" max="8" width="45.8984375" customWidth="1"/>
    <col min="9" max="9" width="3" customWidth="1"/>
    <col min="10" max="10" width="5.8984375" customWidth="1"/>
    <col min="11" max="27" width="2.69921875" customWidth="1"/>
    <col min="28" max="28" width="8" customWidth="1"/>
    <col min="29" max="29" width="8.3984375" customWidth="1"/>
    <col min="30" max="30" width="8.19921875" customWidth="1"/>
    <col min="31" max="31" width="17.09765625" customWidth="1"/>
    <col min="33" max="38" width="6.59765625" customWidth="1"/>
    <col min="39" max="41" width="7.3984375" customWidth="1"/>
    <col min="42" max="64" width="2.09765625" customWidth="1"/>
  </cols>
  <sheetData>
    <row r="1" spans="1:59" x14ac:dyDescent="0.3">
      <c r="A1" s="5"/>
      <c r="B1" s="5" t="s">
        <v>0</v>
      </c>
      <c r="C1">
        <v>5811</v>
      </c>
      <c r="H1" s="2" t="s">
        <v>36</v>
      </c>
      <c r="K1">
        <v>15</v>
      </c>
      <c r="L1">
        <v>14</v>
      </c>
      <c r="M1">
        <v>13</v>
      </c>
      <c r="N1">
        <v>12</v>
      </c>
      <c r="O1">
        <v>11</v>
      </c>
      <c r="P1">
        <v>10</v>
      </c>
      <c r="Q1">
        <v>9</v>
      </c>
      <c r="R1">
        <v>8</v>
      </c>
      <c r="S1">
        <v>7</v>
      </c>
      <c r="T1">
        <v>6</v>
      </c>
      <c r="U1">
        <v>5</v>
      </c>
      <c r="V1">
        <v>4</v>
      </c>
      <c r="W1">
        <v>3</v>
      </c>
      <c r="X1">
        <v>2</v>
      </c>
      <c r="Y1">
        <v>1</v>
      </c>
      <c r="Z1">
        <v>0</v>
      </c>
      <c r="AG1" s="13"/>
      <c r="AH1" s="13"/>
      <c r="BC1" t="s">
        <v>46</v>
      </c>
    </row>
    <row r="2" spans="1:59" x14ac:dyDescent="0.3">
      <c r="A2" s="5"/>
      <c r="B2" s="5" t="s">
        <v>1</v>
      </c>
      <c r="C2">
        <v>15553</v>
      </c>
      <c r="AB2" s="14" t="s">
        <v>52</v>
      </c>
      <c r="AC2" s="14" t="s">
        <v>53</v>
      </c>
      <c r="AG2" s="13"/>
      <c r="AH2" s="13"/>
      <c r="AQ2" cm="1">
        <f t="array" aca="1" ref="AQ2" ca="1">AQ2:BG33</f>
        <v>0</v>
      </c>
      <c r="AR2">
        <f t="shared" ref="AR2:BE2" si="0">IF(AS5&gt;=2,1,0)</f>
        <v>0</v>
      </c>
      <c r="AS2">
        <f t="shared" si="0"/>
        <v>1</v>
      </c>
      <c r="AT2">
        <f t="shared" si="0"/>
        <v>1</v>
      </c>
      <c r="AU2">
        <f t="shared" si="0"/>
        <v>1</v>
      </c>
      <c r="AV2">
        <f t="shared" si="0"/>
        <v>1</v>
      </c>
      <c r="AW2">
        <f t="shared" si="0"/>
        <v>0</v>
      </c>
      <c r="AX2">
        <f t="shared" si="0"/>
        <v>0</v>
      </c>
      <c r="AY2">
        <f t="shared" si="0"/>
        <v>1</v>
      </c>
      <c r="AZ2">
        <f t="shared" si="0"/>
        <v>0</v>
      </c>
      <c r="BA2">
        <f t="shared" si="0"/>
        <v>0</v>
      </c>
      <c r="BB2">
        <f t="shared" si="0"/>
        <v>0</v>
      </c>
      <c r="BC2">
        <f t="shared" si="0"/>
        <v>0</v>
      </c>
      <c r="BD2">
        <f t="shared" si="0"/>
        <v>0</v>
      </c>
      <c r="BE2">
        <f t="shared" si="0"/>
        <v>1</v>
      </c>
      <c r="BF2">
        <f>IF(BG5&gt;=2,1,0)</f>
        <v>1</v>
      </c>
    </row>
    <row r="3" spans="1:59" x14ac:dyDescent="0.3">
      <c r="D3" s="9" t="s">
        <v>43</v>
      </c>
      <c r="I3" s="16"/>
      <c r="J3" t="s">
        <v>38</v>
      </c>
      <c r="K3" s="14" t="str">
        <f>MID($F$4, 16-K$1, 1)</f>
        <v>0</v>
      </c>
      <c r="L3" s="14" t="str">
        <f t="shared" ref="L3:Z3" si="1">MID($F$4, 16-L$1, 1)</f>
        <v>0</v>
      </c>
      <c r="M3" s="14" t="str">
        <f t="shared" si="1"/>
        <v>0</v>
      </c>
      <c r="N3" s="14" t="str">
        <f t="shared" si="1"/>
        <v>1</v>
      </c>
      <c r="O3" s="14" t="str">
        <f t="shared" si="1"/>
        <v>0</v>
      </c>
      <c r="P3" s="14" t="str">
        <f t="shared" si="1"/>
        <v>1</v>
      </c>
      <c r="Q3" s="14" t="str">
        <f t="shared" si="1"/>
        <v>1</v>
      </c>
      <c r="R3" s="14" t="str">
        <f t="shared" si="1"/>
        <v>0</v>
      </c>
      <c r="S3" s="14" t="str">
        <f t="shared" si="1"/>
        <v>1</v>
      </c>
      <c r="T3" s="14" t="str">
        <f t="shared" si="1"/>
        <v>0</v>
      </c>
      <c r="U3" s="14" t="str">
        <f t="shared" si="1"/>
        <v>1</v>
      </c>
      <c r="V3" s="14" t="str">
        <f t="shared" si="1"/>
        <v>1</v>
      </c>
      <c r="W3" s="14" t="str">
        <f t="shared" si="1"/>
        <v>0</v>
      </c>
      <c r="X3" s="14" t="str">
        <f t="shared" si="1"/>
        <v>0</v>
      </c>
      <c r="Y3" s="14" t="str">
        <f t="shared" si="1"/>
        <v>1</v>
      </c>
      <c r="Z3" s="14" t="str">
        <f t="shared" si="1"/>
        <v>1</v>
      </c>
      <c r="AB3" s="14">
        <f>D4</f>
        <v>5811</v>
      </c>
      <c r="AC3" s="14">
        <f>C4</f>
        <v>5811</v>
      </c>
      <c r="AD3" s="17" t="s">
        <v>44</v>
      </c>
      <c r="AE3" s="18">
        <f>AB6</f>
        <v>21364</v>
      </c>
      <c r="AF3" s="15" t="s">
        <v>45</v>
      </c>
      <c r="AG3" s="13" t="s">
        <v>67</v>
      </c>
      <c r="AH3" s="13" t="s">
        <v>68</v>
      </c>
      <c r="AI3" s="13" t="s">
        <v>69</v>
      </c>
      <c r="AJ3" s="13" t="s">
        <v>70</v>
      </c>
      <c r="AK3" s="13" t="s">
        <v>71</v>
      </c>
      <c r="AL3" s="13" t="s">
        <v>72</v>
      </c>
      <c r="AQ3" s="4"/>
      <c r="AR3" s="13" t="str">
        <f t="shared" ref="AR3:BG4" si="2">K3</f>
        <v>0</v>
      </c>
      <c r="AS3" s="13" t="str">
        <f t="shared" si="2"/>
        <v>0</v>
      </c>
      <c r="AT3" s="13" t="str">
        <f t="shared" si="2"/>
        <v>0</v>
      </c>
      <c r="AU3" s="13" t="str">
        <f t="shared" si="2"/>
        <v>1</v>
      </c>
      <c r="AV3" s="13" t="str">
        <f t="shared" si="2"/>
        <v>0</v>
      </c>
      <c r="AW3" s="13" t="str">
        <f t="shared" si="2"/>
        <v>1</v>
      </c>
      <c r="AX3" s="13" t="str">
        <f t="shared" si="2"/>
        <v>1</v>
      </c>
      <c r="AY3" s="13" t="str">
        <f t="shared" si="2"/>
        <v>0</v>
      </c>
      <c r="AZ3" s="13" t="str">
        <f t="shared" si="2"/>
        <v>1</v>
      </c>
      <c r="BA3" s="13" t="str">
        <f t="shared" si="2"/>
        <v>0</v>
      </c>
      <c r="BB3" s="13" t="str">
        <f t="shared" si="2"/>
        <v>1</v>
      </c>
      <c r="BC3" s="13" t="str">
        <f t="shared" si="2"/>
        <v>1</v>
      </c>
      <c r="BD3" s="13" t="str">
        <f t="shared" si="2"/>
        <v>0</v>
      </c>
      <c r="BE3" s="13" t="str">
        <f t="shared" si="2"/>
        <v>0</v>
      </c>
      <c r="BF3" s="13" t="str">
        <f t="shared" si="2"/>
        <v>1</v>
      </c>
      <c r="BG3" s="13" t="str">
        <f t="shared" si="2"/>
        <v>1</v>
      </c>
    </row>
    <row r="4" spans="1:59" x14ac:dyDescent="0.3">
      <c r="A4" s="6" t="s">
        <v>2</v>
      </c>
      <c r="B4" s="5" t="s">
        <v>0</v>
      </c>
      <c r="C4">
        <f>$C$1</f>
        <v>5811</v>
      </c>
      <c r="D4" s="10">
        <f>IF(C4&gt;0, C4, _xlfn.BITXOR(POWER(2, 16)-1, ABS(C4))+1)</f>
        <v>5811</v>
      </c>
      <c r="E4" s="4" t="s">
        <v>24</v>
      </c>
      <c r="F4" t="str">
        <f>_xlfn.BASE(D4, 2, 16)</f>
        <v>0001011010110011</v>
      </c>
      <c r="G4" s="8"/>
      <c r="I4" s="3" t="s">
        <v>37</v>
      </c>
      <c r="J4" t="s">
        <v>39</v>
      </c>
      <c r="K4" s="14" t="str">
        <f>MID($F$5, 16-K$1, 1)</f>
        <v>0</v>
      </c>
      <c r="L4" s="14" t="str">
        <f t="shared" ref="L4:Z4" si="3">MID($F$5, 16-L$1, 1)</f>
        <v>0</v>
      </c>
      <c r="M4" s="14" t="str">
        <f t="shared" si="3"/>
        <v>1</v>
      </c>
      <c r="N4" s="14" t="str">
        <f t="shared" si="3"/>
        <v>1</v>
      </c>
      <c r="O4" s="14" t="str">
        <f t="shared" si="3"/>
        <v>1</v>
      </c>
      <c r="P4" s="14" t="str">
        <f t="shared" si="3"/>
        <v>1</v>
      </c>
      <c r="Q4" s="14" t="str">
        <f t="shared" si="3"/>
        <v>0</v>
      </c>
      <c r="R4" s="14" t="str">
        <f t="shared" si="3"/>
        <v>0</v>
      </c>
      <c r="S4" s="14" t="str">
        <f t="shared" si="3"/>
        <v>1</v>
      </c>
      <c r="T4" s="14" t="str">
        <f t="shared" si="3"/>
        <v>1</v>
      </c>
      <c r="U4" s="14" t="str">
        <f t="shared" si="3"/>
        <v>0</v>
      </c>
      <c r="V4" s="14" t="str">
        <f t="shared" si="3"/>
        <v>0</v>
      </c>
      <c r="W4" s="14" t="str">
        <f t="shared" si="3"/>
        <v>0</v>
      </c>
      <c r="X4" s="14" t="str">
        <f t="shared" si="3"/>
        <v>0</v>
      </c>
      <c r="Y4" s="14" t="str">
        <f t="shared" si="3"/>
        <v>0</v>
      </c>
      <c r="Z4" s="14" t="str">
        <f t="shared" si="3"/>
        <v>1</v>
      </c>
      <c r="AB4" s="14">
        <f>D5</f>
        <v>15553</v>
      </c>
      <c r="AC4" s="14">
        <f>C5</f>
        <v>15553</v>
      </c>
      <c r="AD4" s="17" t="s">
        <v>47</v>
      </c>
      <c r="AE4" s="18">
        <f>AC3+AC4</f>
        <v>21364</v>
      </c>
      <c r="AF4" s="15" t="s">
        <v>45</v>
      </c>
      <c r="AG4" s="13">
        <f ca="1">AQ2</f>
        <v>0</v>
      </c>
      <c r="AH4" s="13">
        <f>IF(BG6,0,1)</f>
        <v>1</v>
      </c>
      <c r="AI4" s="13">
        <f>BC2</f>
        <v>0</v>
      </c>
      <c r="AJ4">
        <f ca="1">IF(SUM(AQ6:BG6)=0,1,0)</f>
        <v>0</v>
      </c>
      <c r="AK4">
        <f>AR6</f>
        <v>0</v>
      </c>
      <c r="AL4">
        <f ca="1">IF(_xlfn.XOR(AQ2,AR2),1,0)</f>
        <v>0</v>
      </c>
      <c r="AQ4" s="19"/>
      <c r="AR4" s="20" t="str">
        <f t="shared" si="2"/>
        <v>0</v>
      </c>
      <c r="AS4" s="20" t="str">
        <f t="shared" si="2"/>
        <v>0</v>
      </c>
      <c r="AT4" s="20" t="str">
        <f t="shared" si="2"/>
        <v>1</v>
      </c>
      <c r="AU4" s="20" t="str">
        <f t="shared" si="2"/>
        <v>1</v>
      </c>
      <c r="AV4" s="20" t="str">
        <f t="shared" si="2"/>
        <v>1</v>
      </c>
      <c r="AW4" s="20" t="str">
        <f t="shared" si="2"/>
        <v>1</v>
      </c>
      <c r="AX4" s="20" t="str">
        <f t="shared" si="2"/>
        <v>0</v>
      </c>
      <c r="AY4" s="20" t="str">
        <f t="shared" si="2"/>
        <v>0</v>
      </c>
      <c r="AZ4" s="20" t="str">
        <f t="shared" si="2"/>
        <v>1</v>
      </c>
      <c r="BA4" s="20" t="str">
        <f t="shared" si="2"/>
        <v>1</v>
      </c>
      <c r="BB4" s="20" t="str">
        <f t="shared" si="2"/>
        <v>0</v>
      </c>
      <c r="BC4" s="20" t="str">
        <f t="shared" si="2"/>
        <v>0</v>
      </c>
      <c r="BD4" s="20" t="str">
        <f t="shared" si="2"/>
        <v>0</v>
      </c>
      <c r="BE4" s="20" t="str">
        <f t="shared" si="2"/>
        <v>0</v>
      </c>
      <c r="BF4" s="20" t="str">
        <f t="shared" si="2"/>
        <v>0</v>
      </c>
      <c r="BG4" s="20" t="str">
        <f t="shared" si="2"/>
        <v>1</v>
      </c>
    </row>
    <row r="5" spans="1:59" x14ac:dyDescent="0.3">
      <c r="A5" s="6" t="s">
        <v>3</v>
      </c>
      <c r="B5" s="5" t="s">
        <v>1</v>
      </c>
      <c r="C5">
        <f>$C$2</f>
        <v>15553</v>
      </c>
      <c r="D5" s="10">
        <f t="shared" ref="D5:D15" si="4">IF(C5&gt;0, C5, _xlfn.BITXOR(POWER(2, 16)-1, ABS(C5))+1)</f>
        <v>15553</v>
      </c>
      <c r="E5" s="4" t="s">
        <v>25</v>
      </c>
      <c r="F5" t="str">
        <f t="shared" ref="F5:F15" si="5">IF(C5&lt;0,_xlfn.BASE(_xlfn.BITXOR(POWER(2, 16)-1, ABS(C5))+1, 2, 16),_xlfn.BASE(C5,2,16))</f>
        <v>0011110011000001</v>
      </c>
      <c r="J5" s="7" t="s">
        <v>40</v>
      </c>
      <c r="K5" s="7" t="s">
        <v>41</v>
      </c>
      <c r="L5" s="7" t="s">
        <v>41</v>
      </c>
      <c r="M5" s="7" t="s">
        <v>41</v>
      </c>
      <c r="N5" s="7" t="s">
        <v>41</v>
      </c>
      <c r="O5" s="7" t="s">
        <v>41</v>
      </c>
      <c r="P5" s="7" t="s">
        <v>41</v>
      </c>
      <c r="Q5" s="7" t="s">
        <v>41</v>
      </c>
      <c r="R5" s="7" t="s">
        <v>41</v>
      </c>
      <c r="S5" s="7" t="s">
        <v>41</v>
      </c>
      <c r="T5" s="7" t="s">
        <v>41</v>
      </c>
      <c r="U5" s="7" t="s">
        <v>41</v>
      </c>
      <c r="V5" s="7" t="s">
        <v>41</v>
      </c>
      <c r="W5" s="7" t="s">
        <v>41</v>
      </c>
      <c r="X5" s="7" t="s">
        <v>41</v>
      </c>
      <c r="Y5" s="7" t="s">
        <v>41</v>
      </c>
      <c r="Z5" s="7" t="s">
        <v>41</v>
      </c>
      <c r="AG5" s="13"/>
      <c r="AH5" s="13"/>
      <c r="AI5" s="13"/>
      <c r="AQ5" s="13">
        <f ca="1">AQ3+AQ4+AQ2</f>
        <v>0</v>
      </c>
      <c r="AR5" s="13">
        <f t="shared" ref="AR5:BF5" si="6">AR3+AR4+AR2</f>
        <v>0</v>
      </c>
      <c r="AS5" s="13">
        <f t="shared" si="6"/>
        <v>1</v>
      </c>
      <c r="AT5" s="13">
        <f t="shared" si="6"/>
        <v>2</v>
      </c>
      <c r="AU5" s="13">
        <f t="shared" si="6"/>
        <v>3</v>
      </c>
      <c r="AV5" s="13">
        <f t="shared" si="6"/>
        <v>2</v>
      </c>
      <c r="AW5" s="13">
        <f t="shared" si="6"/>
        <v>2</v>
      </c>
      <c r="AX5" s="13">
        <f t="shared" si="6"/>
        <v>1</v>
      </c>
      <c r="AY5" s="13">
        <f t="shared" si="6"/>
        <v>1</v>
      </c>
      <c r="AZ5" s="13">
        <f t="shared" si="6"/>
        <v>2</v>
      </c>
      <c r="BA5" s="13">
        <f t="shared" si="6"/>
        <v>1</v>
      </c>
      <c r="BB5" s="13">
        <f t="shared" si="6"/>
        <v>1</v>
      </c>
      <c r="BC5" s="13">
        <f t="shared" si="6"/>
        <v>1</v>
      </c>
      <c r="BD5" s="13">
        <f t="shared" si="6"/>
        <v>0</v>
      </c>
      <c r="BE5" s="13">
        <f t="shared" si="6"/>
        <v>1</v>
      </c>
      <c r="BF5" s="13">
        <f t="shared" si="6"/>
        <v>2</v>
      </c>
      <c r="BG5" s="13">
        <f>BG3+BG4+BG2</f>
        <v>2</v>
      </c>
    </row>
    <row r="6" spans="1:59" x14ac:dyDescent="0.3">
      <c r="A6" s="6" t="s">
        <v>4</v>
      </c>
      <c r="B6" s="5" t="s">
        <v>14</v>
      </c>
      <c r="C6">
        <f>$C$1+$C$2</f>
        <v>21364</v>
      </c>
      <c r="D6" s="10">
        <f t="shared" si="4"/>
        <v>21364</v>
      </c>
      <c r="E6" s="4" t="s">
        <v>26</v>
      </c>
      <c r="F6" t="str">
        <f t="shared" si="5"/>
        <v>0101001101110100</v>
      </c>
      <c r="K6" s="14">
        <f t="shared" ref="K6:Z6" si="7">AR6</f>
        <v>0</v>
      </c>
      <c r="L6" s="14">
        <f t="shared" si="7"/>
        <v>1</v>
      </c>
      <c r="M6" s="14">
        <f t="shared" si="7"/>
        <v>0</v>
      </c>
      <c r="N6" s="14">
        <f t="shared" si="7"/>
        <v>1</v>
      </c>
      <c r="O6" s="14">
        <f t="shared" si="7"/>
        <v>0</v>
      </c>
      <c r="P6" s="14">
        <f t="shared" si="7"/>
        <v>0</v>
      </c>
      <c r="Q6" s="14">
        <f t="shared" si="7"/>
        <v>1</v>
      </c>
      <c r="R6" s="14">
        <f t="shared" si="7"/>
        <v>1</v>
      </c>
      <c r="S6" s="14">
        <f t="shared" si="7"/>
        <v>0</v>
      </c>
      <c r="T6" s="14">
        <f t="shared" si="7"/>
        <v>1</v>
      </c>
      <c r="U6" s="14">
        <f t="shared" si="7"/>
        <v>1</v>
      </c>
      <c r="V6" s="14">
        <f t="shared" si="7"/>
        <v>1</v>
      </c>
      <c r="W6" s="14">
        <f t="shared" si="7"/>
        <v>0</v>
      </c>
      <c r="X6" s="14">
        <f t="shared" si="7"/>
        <v>1</v>
      </c>
      <c r="Y6" s="14">
        <f t="shared" si="7"/>
        <v>0</v>
      </c>
      <c r="Z6" s="14">
        <f t="shared" si="7"/>
        <v>0</v>
      </c>
      <c r="AA6" t="s">
        <v>42</v>
      </c>
      <c r="AB6" s="12">
        <f>IF(K6=0,AB7,-1*_xlfn.BITXOR(AB7-1, POWER(2,15)-1))</f>
        <v>21364</v>
      </c>
      <c r="AC6" s="15" t="s">
        <v>45</v>
      </c>
      <c r="AF6" s="15"/>
      <c r="AQ6" s="4">
        <f ca="1">MOD(AQ5,2)</f>
        <v>0</v>
      </c>
      <c r="AR6" s="4">
        <f t="shared" ref="AR6:BF6" si="8">MOD(AR5,2)</f>
        <v>0</v>
      </c>
      <c r="AS6" s="4">
        <f t="shared" si="8"/>
        <v>1</v>
      </c>
      <c r="AT6" s="4">
        <f t="shared" si="8"/>
        <v>0</v>
      </c>
      <c r="AU6" s="4">
        <f t="shared" si="8"/>
        <v>1</v>
      </c>
      <c r="AV6" s="4">
        <f t="shared" si="8"/>
        <v>0</v>
      </c>
      <c r="AW6" s="4">
        <f t="shared" si="8"/>
        <v>0</v>
      </c>
      <c r="AX6" s="4">
        <f t="shared" si="8"/>
        <v>1</v>
      </c>
      <c r="AY6" s="4">
        <f t="shared" si="8"/>
        <v>1</v>
      </c>
      <c r="AZ6" s="4">
        <f t="shared" si="8"/>
        <v>0</v>
      </c>
      <c r="BA6" s="4">
        <f t="shared" si="8"/>
        <v>1</v>
      </c>
      <c r="BB6" s="4">
        <f t="shared" si="8"/>
        <v>1</v>
      </c>
      <c r="BC6" s="4">
        <f t="shared" si="8"/>
        <v>1</v>
      </c>
      <c r="BD6" s="4">
        <f t="shared" si="8"/>
        <v>0</v>
      </c>
      <c r="BE6" s="4">
        <f t="shared" si="8"/>
        <v>1</v>
      </c>
      <c r="BF6" s="4">
        <f t="shared" si="8"/>
        <v>0</v>
      </c>
      <c r="BG6" s="4">
        <f>MOD(BG5,2)</f>
        <v>0</v>
      </c>
    </row>
    <row r="7" spans="1:59" x14ac:dyDescent="0.3">
      <c r="A7" s="6" t="s">
        <v>5</v>
      </c>
      <c r="B7" s="5" t="s">
        <v>15</v>
      </c>
      <c r="C7">
        <f>$C$1+$C$2+$C$2</f>
        <v>36917</v>
      </c>
      <c r="D7" s="10">
        <f t="shared" si="4"/>
        <v>36917</v>
      </c>
      <c r="E7" s="4" t="s">
        <v>27</v>
      </c>
      <c r="F7" t="str">
        <f t="shared" si="5"/>
        <v>1001000000110101</v>
      </c>
      <c r="AB7">
        <f>L6*POWER(2, 14)+M6*POWER(2,13)+N6*POWER(2,12)+O6*POWER(2,11)+P6*POWER(2,10)+Q6*POWER(2,9)+R6*POWER(2,8)+S6*POWER(2,7)+T6*POWER(2,6)+U6*POWER(2,5)+V6*POWER(2,4)+W6*POWER(2,3)+X6*POWER(2,2)+Y6*POWER(2,1)+Z6*POWER(2,0)</f>
        <v>21364</v>
      </c>
    </row>
    <row r="8" spans="1:59" x14ac:dyDescent="0.3">
      <c r="A8" s="6" t="s">
        <v>13</v>
      </c>
      <c r="B8" s="5" t="s">
        <v>16</v>
      </c>
      <c r="C8">
        <f>$C$2-$C$1</f>
        <v>9742</v>
      </c>
      <c r="D8" s="10">
        <f t="shared" si="4"/>
        <v>9742</v>
      </c>
      <c r="E8" s="4" t="s">
        <v>28</v>
      </c>
      <c r="F8" t="str">
        <f t="shared" si="5"/>
        <v>0010011000001110</v>
      </c>
      <c r="AB8" s="14"/>
      <c r="AC8" s="14"/>
      <c r="AQ8">
        <f t="shared" ref="AQ8:BE8" si="9">IF(AR11&gt;=2,1,0)</f>
        <v>0</v>
      </c>
      <c r="AR8">
        <f t="shared" si="9"/>
        <v>1</v>
      </c>
      <c r="AS8">
        <f t="shared" si="9"/>
        <v>1</v>
      </c>
      <c r="AT8">
        <f t="shared" si="9"/>
        <v>1</v>
      </c>
      <c r="AU8">
        <f t="shared" si="9"/>
        <v>1</v>
      </c>
      <c r="AV8">
        <f t="shared" si="9"/>
        <v>1</v>
      </c>
      <c r="AW8">
        <f t="shared" si="9"/>
        <v>1</v>
      </c>
      <c r="AX8">
        <f t="shared" si="9"/>
        <v>1</v>
      </c>
      <c r="AY8">
        <f t="shared" si="9"/>
        <v>1</v>
      </c>
      <c r="AZ8">
        <f t="shared" si="9"/>
        <v>1</v>
      </c>
      <c r="BA8">
        <f t="shared" si="9"/>
        <v>0</v>
      </c>
      <c r="BB8">
        <f t="shared" si="9"/>
        <v>0</v>
      </c>
      <c r="BC8">
        <f t="shared" si="9"/>
        <v>0</v>
      </c>
      <c r="BD8">
        <f t="shared" si="9"/>
        <v>0</v>
      </c>
      <c r="BE8">
        <f t="shared" si="9"/>
        <v>0</v>
      </c>
      <c r="BF8">
        <f>IF(BG11&gt;=2,1,0)</f>
        <v>0</v>
      </c>
    </row>
    <row r="9" spans="1:59" x14ac:dyDescent="0.3">
      <c r="A9" s="6" t="s">
        <v>12</v>
      </c>
      <c r="B9" s="5" t="s">
        <v>17</v>
      </c>
      <c r="C9">
        <f>65536-C7</f>
        <v>28619</v>
      </c>
      <c r="D9" s="10">
        <f t="shared" si="4"/>
        <v>28619</v>
      </c>
      <c r="E9" s="4" t="s">
        <v>29</v>
      </c>
      <c r="F9" t="str">
        <f t="shared" si="5"/>
        <v>0110111111001011</v>
      </c>
      <c r="J9" t="s">
        <v>39</v>
      </c>
      <c r="K9" s="14" t="str">
        <f>MID($F$5, 16-K$1, 1)</f>
        <v>0</v>
      </c>
      <c r="L9" s="14" t="str">
        <f t="shared" ref="L9:Z9" si="10">MID($F$5, 16-L$1, 1)</f>
        <v>0</v>
      </c>
      <c r="M9" s="14" t="str">
        <f t="shared" si="10"/>
        <v>1</v>
      </c>
      <c r="N9" s="14" t="str">
        <f t="shared" si="10"/>
        <v>1</v>
      </c>
      <c r="O9" s="14" t="str">
        <f t="shared" si="10"/>
        <v>1</v>
      </c>
      <c r="P9" s="14" t="str">
        <f t="shared" si="10"/>
        <v>1</v>
      </c>
      <c r="Q9" s="14" t="str">
        <f t="shared" si="10"/>
        <v>0</v>
      </c>
      <c r="R9" s="14" t="str">
        <f t="shared" si="10"/>
        <v>0</v>
      </c>
      <c r="S9" s="14" t="str">
        <f t="shared" si="10"/>
        <v>1</v>
      </c>
      <c r="T9" s="14" t="str">
        <f t="shared" si="10"/>
        <v>1</v>
      </c>
      <c r="U9" s="14" t="str">
        <f t="shared" si="10"/>
        <v>0</v>
      </c>
      <c r="V9" s="14" t="str">
        <f t="shared" si="10"/>
        <v>0</v>
      </c>
      <c r="W9" s="14" t="str">
        <f t="shared" si="10"/>
        <v>0</v>
      </c>
      <c r="X9" s="14" t="str">
        <f t="shared" si="10"/>
        <v>0</v>
      </c>
      <c r="Y9" s="14" t="str">
        <f t="shared" si="10"/>
        <v>0</v>
      </c>
      <c r="Z9" s="14" t="str">
        <f t="shared" si="10"/>
        <v>1</v>
      </c>
      <c r="AB9" s="14">
        <f>D5</f>
        <v>15553</v>
      </c>
      <c r="AC9" s="14">
        <f>C5</f>
        <v>15553</v>
      </c>
      <c r="AD9" s="17" t="s">
        <v>49</v>
      </c>
      <c r="AE9" s="18">
        <f>AB12</f>
        <v>-28619</v>
      </c>
      <c r="AF9" s="15" t="s">
        <v>45</v>
      </c>
      <c r="AG9" s="13" t="s">
        <v>67</v>
      </c>
      <c r="AH9" s="13" t="s">
        <v>68</v>
      </c>
      <c r="AI9" s="13" t="s">
        <v>69</v>
      </c>
      <c r="AJ9" s="13" t="s">
        <v>70</v>
      </c>
      <c r="AK9" s="13" t="s">
        <v>71</v>
      </c>
      <c r="AL9" s="13" t="s">
        <v>72</v>
      </c>
      <c r="AQ9" s="4"/>
      <c r="AR9" s="13" t="str">
        <f t="shared" ref="AR9:BG10" si="11">K9</f>
        <v>0</v>
      </c>
      <c r="AS9" s="13" t="str">
        <f t="shared" si="11"/>
        <v>0</v>
      </c>
      <c r="AT9" s="13" t="str">
        <f t="shared" si="11"/>
        <v>1</v>
      </c>
      <c r="AU9" s="13" t="str">
        <f t="shared" si="11"/>
        <v>1</v>
      </c>
      <c r="AV9" s="13" t="str">
        <f t="shared" si="11"/>
        <v>1</v>
      </c>
      <c r="AW9" s="13" t="str">
        <f t="shared" si="11"/>
        <v>1</v>
      </c>
      <c r="AX9" s="13" t="str">
        <f t="shared" si="11"/>
        <v>0</v>
      </c>
      <c r="AY9" s="13" t="str">
        <f t="shared" si="11"/>
        <v>0</v>
      </c>
      <c r="AZ9" s="13" t="str">
        <f t="shared" si="11"/>
        <v>1</v>
      </c>
      <c r="BA9" s="13" t="str">
        <f t="shared" si="11"/>
        <v>1</v>
      </c>
      <c r="BB9" s="13" t="str">
        <f t="shared" si="11"/>
        <v>0</v>
      </c>
      <c r="BC9" s="13" t="str">
        <f t="shared" si="11"/>
        <v>0</v>
      </c>
      <c r="BD9" s="13" t="str">
        <f t="shared" si="11"/>
        <v>0</v>
      </c>
      <c r="BE9" s="13" t="str">
        <f t="shared" si="11"/>
        <v>0</v>
      </c>
      <c r="BF9" s="13" t="str">
        <f t="shared" si="11"/>
        <v>0</v>
      </c>
      <c r="BG9" s="13" t="str">
        <f t="shared" si="11"/>
        <v>1</v>
      </c>
    </row>
    <row r="10" spans="1:59" x14ac:dyDescent="0.3">
      <c r="A10" s="6" t="s">
        <v>11</v>
      </c>
      <c r="B10" s="5" t="s">
        <v>18</v>
      </c>
      <c r="C10">
        <f t="shared" ref="C10:C15" si="12">-C4</f>
        <v>-5811</v>
      </c>
      <c r="D10" s="10">
        <f t="shared" si="4"/>
        <v>59725</v>
      </c>
      <c r="E10" s="4" t="s">
        <v>30</v>
      </c>
      <c r="F10" t="str">
        <f t="shared" si="5"/>
        <v>1110100101001101</v>
      </c>
      <c r="I10" s="3" t="s">
        <v>37</v>
      </c>
      <c r="J10" t="s">
        <v>48</v>
      </c>
      <c r="K10" s="14" t="str">
        <f>MID($F$6, 16-K$1, 1)</f>
        <v>0</v>
      </c>
      <c r="L10" s="14" t="str">
        <f t="shared" ref="L10:Z10" si="13">MID($F$6, 16-L$1, 1)</f>
        <v>1</v>
      </c>
      <c r="M10" s="14" t="str">
        <f t="shared" si="13"/>
        <v>0</v>
      </c>
      <c r="N10" s="14" t="str">
        <f t="shared" si="13"/>
        <v>1</v>
      </c>
      <c r="O10" s="14" t="str">
        <f t="shared" si="13"/>
        <v>0</v>
      </c>
      <c r="P10" s="14" t="str">
        <f t="shared" si="13"/>
        <v>0</v>
      </c>
      <c r="Q10" s="14" t="str">
        <f t="shared" si="13"/>
        <v>1</v>
      </c>
      <c r="R10" s="14" t="str">
        <f t="shared" si="13"/>
        <v>1</v>
      </c>
      <c r="S10" s="14" t="str">
        <f t="shared" si="13"/>
        <v>0</v>
      </c>
      <c r="T10" s="14" t="str">
        <f t="shared" si="13"/>
        <v>1</v>
      </c>
      <c r="U10" s="14" t="str">
        <f t="shared" si="13"/>
        <v>1</v>
      </c>
      <c r="V10" s="14" t="str">
        <f t="shared" si="13"/>
        <v>1</v>
      </c>
      <c r="W10" s="14" t="str">
        <f t="shared" si="13"/>
        <v>0</v>
      </c>
      <c r="X10" s="14" t="str">
        <f t="shared" si="13"/>
        <v>1</v>
      </c>
      <c r="Y10" s="14" t="str">
        <f t="shared" si="13"/>
        <v>0</v>
      </c>
      <c r="Z10" s="14" t="str">
        <f t="shared" si="13"/>
        <v>0</v>
      </c>
      <c r="AB10" s="14">
        <f>D6</f>
        <v>21364</v>
      </c>
      <c r="AC10" s="14">
        <f>C6</f>
        <v>21364</v>
      </c>
      <c r="AD10" s="17" t="s">
        <v>50</v>
      </c>
      <c r="AE10" s="18">
        <f>AC9+AC10</f>
        <v>36917</v>
      </c>
      <c r="AF10" s="15" t="s">
        <v>45</v>
      </c>
      <c r="AG10" s="13">
        <f>AQ8</f>
        <v>0</v>
      </c>
      <c r="AH10" s="13">
        <f>IF(BG12,0,1)</f>
        <v>0</v>
      </c>
      <c r="AI10" s="13">
        <f>BC8</f>
        <v>0</v>
      </c>
      <c r="AJ10">
        <f>IF(SUM(AQ12:BG12)=0,1,0)</f>
        <v>0</v>
      </c>
      <c r="AK10">
        <f>AR12</f>
        <v>1</v>
      </c>
      <c r="AL10">
        <f>IF(_xlfn.XOR(AQ8,AR8),1,0)</f>
        <v>1</v>
      </c>
      <c r="AQ10" s="19"/>
      <c r="AR10" s="20" t="str">
        <f t="shared" si="11"/>
        <v>0</v>
      </c>
      <c r="AS10" s="20" t="str">
        <f t="shared" si="11"/>
        <v>1</v>
      </c>
      <c r="AT10" s="20" t="str">
        <f t="shared" si="11"/>
        <v>0</v>
      </c>
      <c r="AU10" s="20" t="str">
        <f t="shared" si="11"/>
        <v>1</v>
      </c>
      <c r="AV10" s="20" t="str">
        <f t="shared" si="11"/>
        <v>0</v>
      </c>
      <c r="AW10" s="20" t="str">
        <f t="shared" si="11"/>
        <v>0</v>
      </c>
      <c r="AX10" s="20" t="str">
        <f t="shared" si="11"/>
        <v>1</v>
      </c>
      <c r="AY10" s="20" t="str">
        <f t="shared" si="11"/>
        <v>1</v>
      </c>
      <c r="AZ10" s="20" t="str">
        <f t="shared" si="11"/>
        <v>0</v>
      </c>
      <c r="BA10" s="20" t="str">
        <f t="shared" si="11"/>
        <v>1</v>
      </c>
      <c r="BB10" s="20" t="str">
        <f t="shared" si="11"/>
        <v>1</v>
      </c>
      <c r="BC10" s="20" t="str">
        <f t="shared" si="11"/>
        <v>1</v>
      </c>
      <c r="BD10" s="20" t="str">
        <f t="shared" si="11"/>
        <v>0</v>
      </c>
      <c r="BE10" s="20" t="str">
        <f t="shared" si="11"/>
        <v>1</v>
      </c>
      <c r="BF10" s="20" t="str">
        <f t="shared" si="11"/>
        <v>0</v>
      </c>
      <c r="BG10" s="20" t="str">
        <f t="shared" si="11"/>
        <v>0</v>
      </c>
    </row>
    <row r="11" spans="1:59" x14ac:dyDescent="0.3">
      <c r="A11" s="6" t="s">
        <v>10</v>
      </c>
      <c r="B11" s="5" t="s">
        <v>19</v>
      </c>
      <c r="C11">
        <f t="shared" si="12"/>
        <v>-15553</v>
      </c>
      <c r="D11" s="10">
        <f t="shared" si="4"/>
        <v>49983</v>
      </c>
      <c r="E11" s="4" t="s">
        <v>31</v>
      </c>
      <c r="F11" t="str">
        <f t="shared" si="5"/>
        <v>1100001100111111</v>
      </c>
      <c r="J11" s="7" t="s">
        <v>40</v>
      </c>
      <c r="K11" s="7" t="s">
        <v>41</v>
      </c>
      <c r="L11" s="7" t="s">
        <v>41</v>
      </c>
      <c r="M11" s="7" t="s">
        <v>41</v>
      </c>
      <c r="N11" s="7" t="s">
        <v>41</v>
      </c>
      <c r="O11" s="7" t="s">
        <v>41</v>
      </c>
      <c r="P11" s="7" t="s">
        <v>41</v>
      </c>
      <c r="Q11" s="7" t="s">
        <v>41</v>
      </c>
      <c r="R11" s="7" t="s">
        <v>41</v>
      </c>
      <c r="S11" s="7" t="s">
        <v>41</v>
      </c>
      <c r="T11" s="7" t="s">
        <v>41</v>
      </c>
      <c r="U11" s="7" t="s">
        <v>41</v>
      </c>
      <c r="V11" s="7" t="s">
        <v>41</v>
      </c>
      <c r="W11" s="7" t="s">
        <v>41</v>
      </c>
      <c r="X11" s="7" t="s">
        <v>41</v>
      </c>
      <c r="Y11" s="7" t="s">
        <v>41</v>
      </c>
      <c r="Z11" s="7" t="s">
        <v>41</v>
      </c>
      <c r="AQ11" s="13">
        <f t="shared" ref="AQ11" si="14">AQ9+AQ10+AQ8</f>
        <v>0</v>
      </c>
      <c r="AR11" s="13">
        <f t="shared" ref="AR11" si="15">AR9+AR10+AR8</f>
        <v>1</v>
      </c>
      <c r="AS11" s="13">
        <f t="shared" ref="AS11" si="16">AS9+AS10+AS8</f>
        <v>2</v>
      </c>
      <c r="AT11" s="13">
        <f t="shared" ref="AT11" si="17">AT9+AT10+AT8</f>
        <v>2</v>
      </c>
      <c r="AU11" s="13">
        <f t="shared" ref="AU11" si="18">AU9+AU10+AU8</f>
        <v>3</v>
      </c>
      <c r="AV11" s="13">
        <f t="shared" ref="AV11" si="19">AV9+AV10+AV8</f>
        <v>2</v>
      </c>
      <c r="AW11" s="13">
        <f t="shared" ref="AW11" si="20">AW9+AW10+AW8</f>
        <v>2</v>
      </c>
      <c r="AX11" s="13">
        <f t="shared" ref="AX11" si="21">AX9+AX10+AX8</f>
        <v>2</v>
      </c>
      <c r="AY11" s="13">
        <f t="shared" ref="AY11" si="22">AY9+AY10+AY8</f>
        <v>2</v>
      </c>
      <c r="AZ11" s="13">
        <f t="shared" ref="AZ11" si="23">AZ9+AZ10+AZ8</f>
        <v>2</v>
      </c>
      <c r="BA11" s="13">
        <f t="shared" ref="BA11" si="24">BA9+BA10+BA8</f>
        <v>2</v>
      </c>
      <c r="BB11" s="13">
        <f t="shared" ref="BB11" si="25">BB9+BB10+BB8</f>
        <v>1</v>
      </c>
      <c r="BC11" s="13">
        <f t="shared" ref="BC11" si="26">BC9+BC10+BC8</f>
        <v>1</v>
      </c>
      <c r="BD11" s="13">
        <f t="shared" ref="BD11" si="27">BD9+BD10+BD8</f>
        <v>0</v>
      </c>
      <c r="BE11" s="13">
        <f t="shared" ref="BE11" si="28">BE9+BE10+BE8</f>
        <v>1</v>
      </c>
      <c r="BF11" s="13">
        <f t="shared" ref="BF11" si="29">BF9+BF10+BF8</f>
        <v>0</v>
      </c>
      <c r="BG11" s="13">
        <f>BG9+BG10+BG8</f>
        <v>1</v>
      </c>
    </row>
    <row r="12" spans="1:59" x14ac:dyDescent="0.3">
      <c r="A12" s="6" t="s">
        <v>9</v>
      </c>
      <c r="B12" s="5" t="s">
        <v>20</v>
      </c>
      <c r="C12">
        <f t="shared" si="12"/>
        <v>-21364</v>
      </c>
      <c r="D12" s="10">
        <f t="shared" si="4"/>
        <v>44172</v>
      </c>
      <c r="E12" s="4" t="s">
        <v>32</v>
      </c>
      <c r="F12" t="str">
        <f t="shared" si="5"/>
        <v>1010110010001100</v>
      </c>
      <c r="K12" s="14">
        <f t="shared" ref="K12:Z12" si="30">AR12</f>
        <v>1</v>
      </c>
      <c r="L12" s="14">
        <f t="shared" si="30"/>
        <v>0</v>
      </c>
      <c r="M12" s="14">
        <f t="shared" si="30"/>
        <v>0</v>
      </c>
      <c r="N12" s="14">
        <f t="shared" si="30"/>
        <v>1</v>
      </c>
      <c r="O12" s="14">
        <f t="shared" si="30"/>
        <v>0</v>
      </c>
      <c r="P12" s="14">
        <f t="shared" si="30"/>
        <v>0</v>
      </c>
      <c r="Q12" s="14">
        <f t="shared" si="30"/>
        <v>0</v>
      </c>
      <c r="R12" s="14">
        <f t="shared" si="30"/>
        <v>0</v>
      </c>
      <c r="S12" s="14">
        <f t="shared" si="30"/>
        <v>0</v>
      </c>
      <c r="T12" s="14">
        <f t="shared" si="30"/>
        <v>0</v>
      </c>
      <c r="U12" s="14">
        <f t="shared" si="30"/>
        <v>1</v>
      </c>
      <c r="V12" s="14">
        <f t="shared" si="30"/>
        <v>1</v>
      </c>
      <c r="W12" s="14">
        <f t="shared" si="30"/>
        <v>0</v>
      </c>
      <c r="X12" s="14">
        <f t="shared" si="30"/>
        <v>1</v>
      </c>
      <c r="Y12" s="14">
        <f t="shared" si="30"/>
        <v>0</v>
      </c>
      <c r="Z12" s="14">
        <f t="shared" si="30"/>
        <v>1</v>
      </c>
      <c r="AA12" t="s">
        <v>42</v>
      </c>
      <c r="AB12" s="12">
        <f>IF(K12=0,AB13,-1*_xlfn.BITXOR(AB13-1, POWER(2,15)-1))</f>
        <v>-28619</v>
      </c>
      <c r="AC12" s="15" t="s">
        <v>45</v>
      </c>
      <c r="AF12" s="15"/>
      <c r="AQ12" s="4">
        <f t="shared" ref="AQ12" si="31">MOD(AQ11,2)</f>
        <v>0</v>
      </c>
      <c r="AR12" s="4">
        <f t="shared" ref="AR12" si="32">MOD(AR11,2)</f>
        <v>1</v>
      </c>
      <c r="AS12" s="4">
        <f t="shared" ref="AS12" si="33">MOD(AS11,2)</f>
        <v>0</v>
      </c>
      <c r="AT12" s="4">
        <f t="shared" ref="AT12" si="34">MOD(AT11,2)</f>
        <v>0</v>
      </c>
      <c r="AU12" s="4">
        <f t="shared" ref="AU12" si="35">MOD(AU11,2)</f>
        <v>1</v>
      </c>
      <c r="AV12" s="4">
        <f t="shared" ref="AV12" si="36">MOD(AV11,2)</f>
        <v>0</v>
      </c>
      <c r="AW12" s="4">
        <f t="shared" ref="AW12" si="37">MOD(AW11,2)</f>
        <v>0</v>
      </c>
      <c r="AX12" s="4">
        <f t="shared" ref="AX12" si="38">MOD(AX11,2)</f>
        <v>0</v>
      </c>
      <c r="AY12" s="4">
        <f t="shared" ref="AY12" si="39">MOD(AY11,2)</f>
        <v>0</v>
      </c>
      <c r="AZ12" s="4">
        <f t="shared" ref="AZ12" si="40">MOD(AZ11,2)</f>
        <v>0</v>
      </c>
      <c r="BA12" s="4">
        <f t="shared" ref="BA12" si="41">MOD(BA11,2)</f>
        <v>0</v>
      </c>
      <c r="BB12" s="4">
        <f t="shared" ref="BB12" si="42">MOD(BB11,2)</f>
        <v>1</v>
      </c>
      <c r="BC12" s="4">
        <f t="shared" ref="BC12" si="43">MOD(BC11,2)</f>
        <v>1</v>
      </c>
      <c r="BD12" s="4">
        <f t="shared" ref="BD12" si="44">MOD(BD11,2)</f>
        <v>0</v>
      </c>
      <c r="BE12" s="4">
        <f t="shared" ref="BE12" si="45">MOD(BE11,2)</f>
        <v>1</v>
      </c>
      <c r="BF12" s="4">
        <f t="shared" ref="BF12" si="46">MOD(BF11,2)</f>
        <v>0</v>
      </c>
      <c r="BG12" s="4">
        <f>MOD(BG11,2)</f>
        <v>1</v>
      </c>
    </row>
    <row r="13" spans="1:59" x14ac:dyDescent="0.3">
      <c r="A13" s="6" t="s">
        <v>8</v>
      </c>
      <c r="B13" s="5" t="s">
        <v>22</v>
      </c>
      <c r="C13">
        <f t="shared" si="12"/>
        <v>-36917</v>
      </c>
      <c r="D13" s="10">
        <f t="shared" si="4"/>
        <v>28619</v>
      </c>
      <c r="E13" s="4" t="s">
        <v>33</v>
      </c>
      <c r="F13" t="str">
        <f t="shared" si="5"/>
        <v>0110111111001011</v>
      </c>
      <c r="AB13">
        <f>L12*POWER(2, 14)+M12*POWER(2,13)+N12*POWER(2,12)+O12*POWER(2,11)+P12*POWER(2,10)+Q12*POWER(2,9)+R12*POWER(2,8)+S12*POWER(2,7)+T12*POWER(2,6)+U12*POWER(2,5)+V12*POWER(2,4)+W12*POWER(2,3)+X12*POWER(2,2)+Y12*POWER(2,1)+Z12*POWER(2,0)</f>
        <v>4149</v>
      </c>
    </row>
    <row r="14" spans="1:59" ht="16.7" x14ac:dyDescent="0.35">
      <c r="A14" s="6" t="s">
        <v>7</v>
      </c>
      <c r="B14" s="5" t="s">
        <v>21</v>
      </c>
      <c r="C14">
        <f t="shared" si="12"/>
        <v>-9742</v>
      </c>
      <c r="D14" s="10">
        <f t="shared" si="4"/>
        <v>55794</v>
      </c>
      <c r="E14" s="4" t="s">
        <v>34</v>
      </c>
      <c r="F14" t="str">
        <f t="shared" si="5"/>
        <v>1101100111110010</v>
      </c>
      <c r="G14" s="1"/>
      <c r="AQ14">
        <f t="shared" ref="AQ14:BE14" si="47">IF(AR17&gt;=2,1,0)</f>
        <v>1</v>
      </c>
      <c r="AR14">
        <f t="shared" si="47"/>
        <v>1</v>
      </c>
      <c r="AS14">
        <f t="shared" si="47"/>
        <v>1</v>
      </c>
      <c r="AT14">
        <f t="shared" si="47"/>
        <v>1</v>
      </c>
      <c r="AU14">
        <f t="shared" si="47"/>
        <v>1</v>
      </c>
      <c r="AV14">
        <f t="shared" si="47"/>
        <v>0</v>
      </c>
      <c r="AW14">
        <f t="shared" si="47"/>
        <v>0</v>
      </c>
      <c r="AX14">
        <f t="shared" si="47"/>
        <v>1</v>
      </c>
      <c r="AY14">
        <f t="shared" si="47"/>
        <v>1</v>
      </c>
      <c r="AZ14">
        <f t="shared" si="47"/>
        <v>1</v>
      </c>
      <c r="BA14">
        <f t="shared" si="47"/>
        <v>0</v>
      </c>
      <c r="BB14">
        <f t="shared" si="47"/>
        <v>0</v>
      </c>
      <c r="BC14">
        <f t="shared" si="47"/>
        <v>0</v>
      </c>
      <c r="BD14">
        <f t="shared" si="47"/>
        <v>0</v>
      </c>
      <c r="BE14">
        <f t="shared" si="47"/>
        <v>0</v>
      </c>
      <c r="BF14">
        <f>IF(BG17&gt;=2,1,0)</f>
        <v>1</v>
      </c>
    </row>
    <row r="15" spans="1:59" x14ac:dyDescent="0.3">
      <c r="A15" s="6" t="s">
        <v>6</v>
      </c>
      <c r="B15" s="5" t="s">
        <v>23</v>
      </c>
      <c r="C15">
        <f t="shared" si="12"/>
        <v>-28619</v>
      </c>
      <c r="D15" s="11">
        <f t="shared" si="4"/>
        <v>36917</v>
      </c>
      <c r="E15" s="4" t="s">
        <v>35</v>
      </c>
      <c r="F15" t="str">
        <f t="shared" si="5"/>
        <v>1001000000110101</v>
      </c>
      <c r="J15" t="s">
        <v>39</v>
      </c>
      <c r="K15" s="14" t="str">
        <f>MID($F$5, 16-K$1, 1)</f>
        <v>0</v>
      </c>
      <c r="L15" s="14" t="str">
        <f t="shared" ref="L15:Z15" si="48">MID($F$5, 16-L$1, 1)</f>
        <v>0</v>
      </c>
      <c r="M15" s="14" t="str">
        <f t="shared" si="48"/>
        <v>1</v>
      </c>
      <c r="N15" s="14" t="str">
        <f t="shared" si="48"/>
        <v>1</v>
      </c>
      <c r="O15" s="14" t="str">
        <f t="shared" si="48"/>
        <v>1</v>
      </c>
      <c r="P15" s="14" t="str">
        <f t="shared" si="48"/>
        <v>1</v>
      </c>
      <c r="Q15" s="14" t="str">
        <f t="shared" si="48"/>
        <v>0</v>
      </c>
      <c r="R15" s="14" t="str">
        <f t="shared" si="48"/>
        <v>0</v>
      </c>
      <c r="S15" s="14" t="str">
        <f t="shared" si="48"/>
        <v>1</v>
      </c>
      <c r="T15" s="14" t="str">
        <f t="shared" si="48"/>
        <v>1</v>
      </c>
      <c r="U15" s="14" t="str">
        <f t="shared" si="48"/>
        <v>0</v>
      </c>
      <c r="V15" s="14" t="str">
        <f t="shared" si="48"/>
        <v>0</v>
      </c>
      <c r="W15" s="14" t="str">
        <f t="shared" si="48"/>
        <v>0</v>
      </c>
      <c r="X15" s="14" t="str">
        <f t="shared" si="48"/>
        <v>0</v>
      </c>
      <c r="Y15" s="14" t="str">
        <f t="shared" si="48"/>
        <v>0</v>
      </c>
      <c r="Z15" s="14" t="str">
        <f t="shared" si="48"/>
        <v>1</v>
      </c>
      <c r="AB15" s="14">
        <f>D5</f>
        <v>15553</v>
      </c>
      <c r="AC15" s="14">
        <f>C5</f>
        <v>15553</v>
      </c>
      <c r="AD15" s="17" t="s">
        <v>57</v>
      </c>
      <c r="AE15" s="18">
        <f>AB18</f>
        <v>9742</v>
      </c>
      <c r="AF15" s="15" t="s">
        <v>45</v>
      </c>
      <c r="AG15" s="13" t="s">
        <v>67</v>
      </c>
      <c r="AH15" s="13" t="s">
        <v>68</v>
      </c>
      <c r="AI15" s="13" t="s">
        <v>69</v>
      </c>
      <c r="AJ15" s="13" t="s">
        <v>70</v>
      </c>
      <c r="AK15" s="13" t="s">
        <v>71</v>
      </c>
      <c r="AL15" s="13" t="s">
        <v>72</v>
      </c>
      <c r="AQ15" s="4"/>
      <c r="AR15" s="13" t="str">
        <f t="shared" ref="AR15:BG16" si="49">K15</f>
        <v>0</v>
      </c>
      <c r="AS15" s="13" t="str">
        <f t="shared" si="49"/>
        <v>0</v>
      </c>
      <c r="AT15" s="13" t="str">
        <f t="shared" si="49"/>
        <v>1</v>
      </c>
      <c r="AU15" s="13" t="str">
        <f t="shared" si="49"/>
        <v>1</v>
      </c>
      <c r="AV15" s="13" t="str">
        <f t="shared" si="49"/>
        <v>1</v>
      </c>
      <c r="AW15" s="13" t="str">
        <f t="shared" si="49"/>
        <v>1</v>
      </c>
      <c r="AX15" s="13" t="str">
        <f t="shared" si="49"/>
        <v>0</v>
      </c>
      <c r="AY15" s="13" t="str">
        <f t="shared" si="49"/>
        <v>0</v>
      </c>
      <c r="AZ15" s="13" t="str">
        <f t="shared" si="49"/>
        <v>1</v>
      </c>
      <c r="BA15" s="13" t="str">
        <f t="shared" si="49"/>
        <v>1</v>
      </c>
      <c r="BB15" s="13" t="str">
        <f t="shared" si="49"/>
        <v>0</v>
      </c>
      <c r="BC15" s="13" t="str">
        <f t="shared" si="49"/>
        <v>0</v>
      </c>
      <c r="BD15" s="13" t="str">
        <f t="shared" si="49"/>
        <v>0</v>
      </c>
      <c r="BE15" s="13" t="str">
        <f t="shared" si="49"/>
        <v>0</v>
      </c>
      <c r="BF15" s="13" t="str">
        <f t="shared" si="49"/>
        <v>0</v>
      </c>
      <c r="BG15" s="13" t="str">
        <f t="shared" si="49"/>
        <v>1</v>
      </c>
    </row>
    <row r="16" spans="1:59" x14ac:dyDescent="0.3">
      <c r="I16" s="3" t="s">
        <v>37</v>
      </c>
      <c r="J16" t="s">
        <v>51</v>
      </c>
      <c r="K16" s="14" t="str">
        <f>MID($F$10, 16-K$1, 1)</f>
        <v>1</v>
      </c>
      <c r="L16" s="14" t="str">
        <f t="shared" ref="L16:Z16" si="50">MID($F$10, 16-L$1, 1)</f>
        <v>1</v>
      </c>
      <c r="M16" s="14" t="str">
        <f t="shared" si="50"/>
        <v>1</v>
      </c>
      <c r="N16" s="14" t="str">
        <f t="shared" si="50"/>
        <v>0</v>
      </c>
      <c r="O16" s="14" t="str">
        <f t="shared" si="50"/>
        <v>1</v>
      </c>
      <c r="P16" s="14" t="str">
        <f t="shared" si="50"/>
        <v>0</v>
      </c>
      <c r="Q16" s="14" t="str">
        <f t="shared" si="50"/>
        <v>0</v>
      </c>
      <c r="R16" s="14" t="str">
        <f t="shared" si="50"/>
        <v>1</v>
      </c>
      <c r="S16" s="14" t="str">
        <f t="shared" si="50"/>
        <v>0</v>
      </c>
      <c r="T16" s="14" t="str">
        <f t="shared" si="50"/>
        <v>1</v>
      </c>
      <c r="U16" s="14" t="str">
        <f t="shared" si="50"/>
        <v>0</v>
      </c>
      <c r="V16" s="14" t="str">
        <f t="shared" si="50"/>
        <v>0</v>
      </c>
      <c r="W16" s="14" t="str">
        <f t="shared" si="50"/>
        <v>1</v>
      </c>
      <c r="X16" s="14" t="str">
        <f t="shared" si="50"/>
        <v>1</v>
      </c>
      <c r="Y16" s="14" t="str">
        <f t="shared" si="50"/>
        <v>0</v>
      </c>
      <c r="Z16" s="14" t="str">
        <f t="shared" si="50"/>
        <v>1</v>
      </c>
      <c r="AB16" s="14">
        <f>D10</f>
        <v>59725</v>
      </c>
      <c r="AC16" s="14">
        <f>C10</f>
        <v>-5811</v>
      </c>
      <c r="AD16" s="17" t="s">
        <v>58</v>
      </c>
      <c r="AE16" s="18">
        <f>AC15+AC16</f>
        <v>9742</v>
      </c>
      <c r="AF16" s="15" t="s">
        <v>45</v>
      </c>
      <c r="AG16" s="13">
        <f>AQ14</f>
        <v>1</v>
      </c>
      <c r="AH16" s="13">
        <f>IF(BG18,0,1)</f>
        <v>1</v>
      </c>
      <c r="AI16" s="13">
        <f>BC14</f>
        <v>0</v>
      </c>
      <c r="AJ16">
        <f>IF(SUM(AQ18:BG18)=0,1,0)</f>
        <v>0</v>
      </c>
      <c r="AK16">
        <f>AR18</f>
        <v>0</v>
      </c>
      <c r="AL16">
        <f>IF(_xlfn.XOR(AQ14,AR14),1,0)</f>
        <v>0</v>
      </c>
      <c r="AQ16" s="19"/>
      <c r="AR16" s="20" t="str">
        <f t="shared" si="49"/>
        <v>1</v>
      </c>
      <c r="AS16" s="20" t="str">
        <f t="shared" si="49"/>
        <v>1</v>
      </c>
      <c r="AT16" s="20" t="str">
        <f t="shared" si="49"/>
        <v>1</v>
      </c>
      <c r="AU16" s="20" t="str">
        <f t="shared" si="49"/>
        <v>0</v>
      </c>
      <c r="AV16" s="20" t="str">
        <f t="shared" si="49"/>
        <v>1</v>
      </c>
      <c r="AW16" s="20" t="str">
        <f t="shared" si="49"/>
        <v>0</v>
      </c>
      <c r="AX16" s="20" t="str">
        <f t="shared" si="49"/>
        <v>0</v>
      </c>
      <c r="AY16" s="20" t="str">
        <f t="shared" si="49"/>
        <v>1</v>
      </c>
      <c r="AZ16" s="20" t="str">
        <f t="shared" si="49"/>
        <v>0</v>
      </c>
      <c r="BA16" s="20" t="str">
        <f t="shared" si="49"/>
        <v>1</v>
      </c>
      <c r="BB16" s="20" t="str">
        <f t="shared" si="49"/>
        <v>0</v>
      </c>
      <c r="BC16" s="20" t="str">
        <f t="shared" si="49"/>
        <v>0</v>
      </c>
      <c r="BD16" s="20" t="str">
        <f t="shared" si="49"/>
        <v>1</v>
      </c>
      <c r="BE16" s="20" t="str">
        <f t="shared" si="49"/>
        <v>1</v>
      </c>
      <c r="BF16" s="20" t="str">
        <f t="shared" si="49"/>
        <v>0</v>
      </c>
      <c r="BG16" s="20" t="str">
        <f t="shared" si="49"/>
        <v>1</v>
      </c>
    </row>
    <row r="17" spans="9:59" x14ac:dyDescent="0.3">
      <c r="J17" s="7" t="s">
        <v>40</v>
      </c>
      <c r="K17" s="7" t="s">
        <v>41</v>
      </c>
      <c r="L17" s="7" t="s">
        <v>41</v>
      </c>
      <c r="M17" s="7" t="s">
        <v>41</v>
      </c>
      <c r="N17" s="7" t="s">
        <v>41</v>
      </c>
      <c r="O17" s="7" t="s">
        <v>41</v>
      </c>
      <c r="P17" s="7" t="s">
        <v>41</v>
      </c>
      <c r="Q17" s="7" t="s">
        <v>41</v>
      </c>
      <c r="R17" s="7" t="s">
        <v>41</v>
      </c>
      <c r="S17" s="7" t="s">
        <v>41</v>
      </c>
      <c r="T17" s="7" t="s">
        <v>41</v>
      </c>
      <c r="U17" s="7" t="s">
        <v>41</v>
      </c>
      <c r="V17" s="7" t="s">
        <v>41</v>
      </c>
      <c r="W17" s="7" t="s">
        <v>41</v>
      </c>
      <c r="X17" s="7" t="s">
        <v>41</v>
      </c>
      <c r="Y17" s="7" t="s">
        <v>41</v>
      </c>
      <c r="Z17" s="7" t="s">
        <v>41</v>
      </c>
      <c r="AQ17" s="13">
        <f t="shared" ref="AQ17" si="51">AQ15+AQ16+AQ14</f>
        <v>1</v>
      </c>
      <c r="AR17" s="13">
        <f t="shared" ref="AR17" si="52">AR15+AR16+AR14</f>
        <v>2</v>
      </c>
      <c r="AS17" s="13">
        <f t="shared" ref="AS17" si="53">AS15+AS16+AS14</f>
        <v>2</v>
      </c>
      <c r="AT17" s="13">
        <f t="shared" ref="AT17" si="54">AT15+AT16+AT14</f>
        <v>3</v>
      </c>
      <c r="AU17" s="13">
        <f t="shared" ref="AU17" si="55">AU15+AU16+AU14</f>
        <v>2</v>
      </c>
      <c r="AV17" s="13">
        <f t="shared" ref="AV17" si="56">AV15+AV16+AV14</f>
        <v>2</v>
      </c>
      <c r="AW17" s="13">
        <f t="shared" ref="AW17" si="57">AW15+AW16+AW14</f>
        <v>1</v>
      </c>
      <c r="AX17" s="13">
        <f t="shared" ref="AX17" si="58">AX15+AX16+AX14</f>
        <v>1</v>
      </c>
      <c r="AY17" s="13">
        <f t="shared" ref="AY17" si="59">AY15+AY16+AY14</f>
        <v>2</v>
      </c>
      <c r="AZ17" s="13">
        <f t="shared" ref="AZ17" si="60">AZ15+AZ16+AZ14</f>
        <v>2</v>
      </c>
      <c r="BA17" s="13">
        <f t="shared" ref="BA17" si="61">BA15+BA16+BA14</f>
        <v>2</v>
      </c>
      <c r="BB17" s="13">
        <f t="shared" ref="BB17" si="62">BB15+BB16+BB14</f>
        <v>0</v>
      </c>
      <c r="BC17" s="13">
        <f t="shared" ref="BC17" si="63">BC15+BC16+BC14</f>
        <v>0</v>
      </c>
      <c r="BD17" s="13">
        <f t="shared" ref="BD17" si="64">BD15+BD16+BD14</f>
        <v>1</v>
      </c>
      <c r="BE17" s="13">
        <f t="shared" ref="BE17" si="65">BE15+BE16+BE14</f>
        <v>1</v>
      </c>
      <c r="BF17" s="13">
        <f t="shared" ref="BF17" si="66">BF15+BF16+BF14</f>
        <v>1</v>
      </c>
      <c r="BG17" s="13">
        <f>BG15+BG16+BG14</f>
        <v>2</v>
      </c>
    </row>
    <row r="18" spans="9:59" x14ac:dyDescent="0.3">
      <c r="K18" s="14">
        <f t="shared" ref="K18:Z18" si="67">AR18</f>
        <v>0</v>
      </c>
      <c r="L18" s="14">
        <f t="shared" si="67"/>
        <v>0</v>
      </c>
      <c r="M18" s="14">
        <f t="shared" si="67"/>
        <v>1</v>
      </c>
      <c r="N18" s="14">
        <f t="shared" si="67"/>
        <v>0</v>
      </c>
      <c r="O18" s="14">
        <f t="shared" si="67"/>
        <v>0</v>
      </c>
      <c r="P18" s="14">
        <f t="shared" si="67"/>
        <v>1</v>
      </c>
      <c r="Q18" s="14">
        <f t="shared" si="67"/>
        <v>1</v>
      </c>
      <c r="R18" s="14">
        <f t="shared" si="67"/>
        <v>0</v>
      </c>
      <c r="S18" s="14">
        <f t="shared" si="67"/>
        <v>0</v>
      </c>
      <c r="T18" s="14">
        <f t="shared" si="67"/>
        <v>0</v>
      </c>
      <c r="U18" s="14">
        <f t="shared" si="67"/>
        <v>0</v>
      </c>
      <c r="V18" s="14">
        <f t="shared" si="67"/>
        <v>0</v>
      </c>
      <c r="W18" s="14">
        <f t="shared" si="67"/>
        <v>1</v>
      </c>
      <c r="X18" s="14">
        <f t="shared" si="67"/>
        <v>1</v>
      </c>
      <c r="Y18" s="14">
        <f t="shared" si="67"/>
        <v>1</v>
      </c>
      <c r="Z18" s="14">
        <f t="shared" si="67"/>
        <v>0</v>
      </c>
      <c r="AA18" t="s">
        <v>42</v>
      </c>
      <c r="AB18" s="12">
        <f>IF(K18=0,AB19,-1*_xlfn.BITXOR(AB19-1, POWER(2,15)-1))</f>
        <v>9742</v>
      </c>
      <c r="AC18" s="15" t="s">
        <v>45</v>
      </c>
      <c r="AF18" s="15"/>
      <c r="AQ18" s="4">
        <f t="shared" ref="AQ18" si="68">MOD(AQ17,2)</f>
        <v>1</v>
      </c>
      <c r="AR18" s="4">
        <f t="shared" ref="AR18" si="69">MOD(AR17,2)</f>
        <v>0</v>
      </c>
      <c r="AS18" s="4">
        <f t="shared" ref="AS18" si="70">MOD(AS17,2)</f>
        <v>0</v>
      </c>
      <c r="AT18" s="4">
        <f t="shared" ref="AT18" si="71">MOD(AT17,2)</f>
        <v>1</v>
      </c>
      <c r="AU18" s="4">
        <f t="shared" ref="AU18" si="72">MOD(AU17,2)</f>
        <v>0</v>
      </c>
      <c r="AV18" s="4">
        <f t="shared" ref="AV18" si="73">MOD(AV17,2)</f>
        <v>0</v>
      </c>
      <c r="AW18" s="4">
        <f t="shared" ref="AW18" si="74">MOD(AW17,2)</f>
        <v>1</v>
      </c>
      <c r="AX18" s="4">
        <f t="shared" ref="AX18" si="75">MOD(AX17,2)</f>
        <v>1</v>
      </c>
      <c r="AY18" s="4">
        <f t="shared" ref="AY18" si="76">MOD(AY17,2)</f>
        <v>0</v>
      </c>
      <c r="AZ18" s="4">
        <f t="shared" ref="AZ18" si="77">MOD(AZ17,2)</f>
        <v>0</v>
      </c>
      <c r="BA18" s="4">
        <f t="shared" ref="BA18" si="78">MOD(BA17,2)</f>
        <v>0</v>
      </c>
      <c r="BB18" s="4">
        <f t="shared" ref="BB18" si="79">MOD(BB17,2)</f>
        <v>0</v>
      </c>
      <c r="BC18" s="4">
        <f t="shared" ref="BC18" si="80">MOD(BC17,2)</f>
        <v>0</v>
      </c>
      <c r="BD18" s="4">
        <f t="shared" ref="BD18" si="81">MOD(BD17,2)</f>
        <v>1</v>
      </c>
      <c r="BE18" s="4">
        <f t="shared" ref="BE18" si="82">MOD(BE17,2)</f>
        <v>1</v>
      </c>
      <c r="BF18" s="4">
        <f t="shared" ref="BF18" si="83">MOD(BF17,2)</f>
        <v>1</v>
      </c>
      <c r="BG18" s="4">
        <f>MOD(BG17,2)</f>
        <v>0</v>
      </c>
    </row>
    <row r="19" spans="9:59" x14ac:dyDescent="0.3">
      <c r="AB19">
        <f>L18*POWER(2, 14)+M18*POWER(2,13)+N18*POWER(2,12)+O18*POWER(2,11)+P18*POWER(2,10)+Q18*POWER(2,9)+R18*POWER(2,8)+S18*POWER(2,7)+T18*POWER(2,6)+U18*POWER(2,5)+V18*POWER(2,4)+W18*POWER(2,3)+X18*POWER(2,2)+Y18*POWER(2,1)+Z18*POWER(2,0)</f>
        <v>9742</v>
      </c>
    </row>
    <row r="20" spans="9:59" x14ac:dyDescent="0.3">
      <c r="AQ20">
        <f t="shared" ref="AQ20:BE20" si="84">IF(AR23&gt;=2,1,0)</f>
        <v>1</v>
      </c>
      <c r="AR20">
        <f t="shared" si="84"/>
        <v>1</v>
      </c>
      <c r="AS20">
        <f t="shared" si="84"/>
        <v>0</v>
      </c>
      <c r="AT20">
        <f t="shared" si="84"/>
        <v>0</v>
      </c>
      <c r="AU20">
        <f t="shared" si="84"/>
        <v>0</v>
      </c>
      <c r="AV20">
        <f t="shared" si="84"/>
        <v>0</v>
      </c>
      <c r="AW20">
        <f t="shared" si="84"/>
        <v>1</v>
      </c>
      <c r="AX20">
        <f t="shared" si="84"/>
        <v>1</v>
      </c>
      <c r="AY20">
        <f t="shared" si="84"/>
        <v>0</v>
      </c>
      <c r="AZ20">
        <f t="shared" si="84"/>
        <v>1</v>
      </c>
      <c r="BA20">
        <f t="shared" si="84"/>
        <v>1</v>
      </c>
      <c r="BB20">
        <f t="shared" si="84"/>
        <v>1</v>
      </c>
      <c r="BC20">
        <f t="shared" si="84"/>
        <v>1</v>
      </c>
      <c r="BD20">
        <f t="shared" si="84"/>
        <v>1</v>
      </c>
      <c r="BE20">
        <f t="shared" si="84"/>
        <v>1</v>
      </c>
      <c r="BF20">
        <f>IF(BG23&gt;=2,1,0)</f>
        <v>1</v>
      </c>
    </row>
    <row r="21" spans="9:59" x14ac:dyDescent="0.3">
      <c r="J21" t="s">
        <v>51</v>
      </c>
      <c r="K21" s="14" t="str">
        <f>MID($F$10, 16-K$1, 1)</f>
        <v>1</v>
      </c>
      <c r="L21" s="14" t="str">
        <f t="shared" ref="L21:Z21" si="85">MID($F$10, 16-L$1, 1)</f>
        <v>1</v>
      </c>
      <c r="M21" s="14" t="str">
        <f t="shared" si="85"/>
        <v>1</v>
      </c>
      <c r="N21" s="14" t="str">
        <f t="shared" si="85"/>
        <v>0</v>
      </c>
      <c r="O21" s="14" t="str">
        <f t="shared" si="85"/>
        <v>1</v>
      </c>
      <c r="P21" s="14" t="str">
        <f t="shared" si="85"/>
        <v>0</v>
      </c>
      <c r="Q21" s="14" t="str">
        <f t="shared" si="85"/>
        <v>0</v>
      </c>
      <c r="R21" s="14" t="str">
        <f t="shared" si="85"/>
        <v>1</v>
      </c>
      <c r="S21" s="14" t="str">
        <f t="shared" si="85"/>
        <v>0</v>
      </c>
      <c r="T21" s="14" t="str">
        <f t="shared" si="85"/>
        <v>1</v>
      </c>
      <c r="U21" s="14" t="str">
        <f t="shared" si="85"/>
        <v>0</v>
      </c>
      <c r="V21" s="14" t="str">
        <f t="shared" si="85"/>
        <v>0</v>
      </c>
      <c r="W21" s="14" t="str">
        <f t="shared" si="85"/>
        <v>1</v>
      </c>
      <c r="X21" s="14" t="str">
        <f t="shared" si="85"/>
        <v>1</v>
      </c>
      <c r="Y21" s="14" t="str">
        <f t="shared" si="85"/>
        <v>0</v>
      </c>
      <c r="Z21" s="14" t="str">
        <f t="shared" si="85"/>
        <v>1</v>
      </c>
      <c r="AB21" s="14">
        <f>D10</f>
        <v>59725</v>
      </c>
      <c r="AC21" s="14">
        <f>C10</f>
        <v>-5811</v>
      </c>
      <c r="AD21" s="17" t="s">
        <v>59</v>
      </c>
      <c r="AE21" s="18">
        <f>AB24</f>
        <v>-21364</v>
      </c>
      <c r="AF21" s="15" t="s">
        <v>45</v>
      </c>
      <c r="AG21" s="13" t="s">
        <v>67</v>
      </c>
      <c r="AH21" s="13" t="s">
        <v>68</v>
      </c>
      <c r="AI21" s="13" t="s">
        <v>69</v>
      </c>
      <c r="AJ21" s="13" t="s">
        <v>70</v>
      </c>
      <c r="AK21" s="13" t="s">
        <v>71</v>
      </c>
      <c r="AL21" s="13" t="s">
        <v>72</v>
      </c>
      <c r="AQ21" s="4"/>
      <c r="AR21" s="13" t="str">
        <f t="shared" ref="AR21:BG22" si="86">K21</f>
        <v>1</v>
      </c>
      <c r="AS21" s="13" t="str">
        <f t="shared" si="86"/>
        <v>1</v>
      </c>
      <c r="AT21" s="13" t="str">
        <f t="shared" si="86"/>
        <v>1</v>
      </c>
      <c r="AU21" s="13" t="str">
        <f t="shared" si="86"/>
        <v>0</v>
      </c>
      <c r="AV21" s="13" t="str">
        <f t="shared" si="86"/>
        <v>1</v>
      </c>
      <c r="AW21" s="13" t="str">
        <f t="shared" si="86"/>
        <v>0</v>
      </c>
      <c r="AX21" s="13" t="str">
        <f t="shared" si="86"/>
        <v>0</v>
      </c>
      <c r="AY21" s="13" t="str">
        <f t="shared" si="86"/>
        <v>1</v>
      </c>
      <c r="AZ21" s="13" t="str">
        <f t="shared" si="86"/>
        <v>0</v>
      </c>
      <c r="BA21" s="13" t="str">
        <f t="shared" si="86"/>
        <v>1</v>
      </c>
      <c r="BB21" s="13" t="str">
        <f t="shared" si="86"/>
        <v>0</v>
      </c>
      <c r="BC21" s="13" t="str">
        <f t="shared" si="86"/>
        <v>0</v>
      </c>
      <c r="BD21" s="13" t="str">
        <f t="shared" si="86"/>
        <v>1</v>
      </c>
      <c r="BE21" s="13" t="str">
        <f t="shared" si="86"/>
        <v>1</v>
      </c>
      <c r="BF21" s="13" t="str">
        <f t="shared" si="86"/>
        <v>0</v>
      </c>
      <c r="BG21" s="13" t="str">
        <f t="shared" si="86"/>
        <v>1</v>
      </c>
    </row>
    <row r="22" spans="9:59" x14ac:dyDescent="0.3">
      <c r="I22" s="3" t="s">
        <v>37</v>
      </c>
      <c r="J22" t="s">
        <v>54</v>
      </c>
      <c r="K22" s="14" t="str">
        <f>MID($F$11, 16-K$1, 1)</f>
        <v>1</v>
      </c>
      <c r="L22" s="14" t="str">
        <f t="shared" ref="L22:Z22" si="87">MID($F$11, 16-L$1, 1)</f>
        <v>1</v>
      </c>
      <c r="M22" s="14" t="str">
        <f t="shared" si="87"/>
        <v>0</v>
      </c>
      <c r="N22" s="14" t="str">
        <f t="shared" si="87"/>
        <v>0</v>
      </c>
      <c r="O22" s="14" t="str">
        <f t="shared" si="87"/>
        <v>0</v>
      </c>
      <c r="P22" s="14" t="str">
        <f t="shared" si="87"/>
        <v>0</v>
      </c>
      <c r="Q22" s="14" t="str">
        <f t="shared" si="87"/>
        <v>1</v>
      </c>
      <c r="R22" s="14" t="str">
        <f t="shared" si="87"/>
        <v>1</v>
      </c>
      <c r="S22" s="14" t="str">
        <f t="shared" si="87"/>
        <v>0</v>
      </c>
      <c r="T22" s="14" t="str">
        <f t="shared" si="87"/>
        <v>0</v>
      </c>
      <c r="U22" s="14" t="str">
        <f t="shared" si="87"/>
        <v>1</v>
      </c>
      <c r="V22" s="14" t="str">
        <f t="shared" si="87"/>
        <v>1</v>
      </c>
      <c r="W22" s="14" t="str">
        <f t="shared" si="87"/>
        <v>1</v>
      </c>
      <c r="X22" s="14" t="str">
        <f t="shared" si="87"/>
        <v>1</v>
      </c>
      <c r="Y22" s="14" t="str">
        <f t="shared" si="87"/>
        <v>1</v>
      </c>
      <c r="Z22" s="14" t="str">
        <f t="shared" si="87"/>
        <v>1</v>
      </c>
      <c r="AB22" s="14">
        <f>D11</f>
        <v>49983</v>
      </c>
      <c r="AC22" s="14">
        <f>C11</f>
        <v>-15553</v>
      </c>
      <c r="AD22" s="17" t="s">
        <v>60</v>
      </c>
      <c r="AE22" s="18">
        <f>AC21+AC22</f>
        <v>-21364</v>
      </c>
      <c r="AF22" s="15" t="s">
        <v>45</v>
      </c>
      <c r="AG22" s="13">
        <f>AQ20</f>
        <v>1</v>
      </c>
      <c r="AH22" s="13">
        <f>IF(BG24,0,1)</f>
        <v>1</v>
      </c>
      <c r="AI22" s="13">
        <f>BC20</f>
        <v>1</v>
      </c>
      <c r="AJ22">
        <f>IF(SUM(AQ24:BG24)=0,1,0)</f>
        <v>0</v>
      </c>
      <c r="AK22">
        <f>AR24</f>
        <v>1</v>
      </c>
      <c r="AL22">
        <f>IF(_xlfn.XOR(AQ20,AR20),1,0)</f>
        <v>0</v>
      </c>
      <c r="AQ22" s="19"/>
      <c r="AR22" s="20" t="str">
        <f t="shared" si="86"/>
        <v>1</v>
      </c>
      <c r="AS22" s="20" t="str">
        <f t="shared" si="86"/>
        <v>1</v>
      </c>
      <c r="AT22" s="20" t="str">
        <f t="shared" si="86"/>
        <v>0</v>
      </c>
      <c r="AU22" s="20" t="str">
        <f t="shared" si="86"/>
        <v>0</v>
      </c>
      <c r="AV22" s="20" t="str">
        <f t="shared" si="86"/>
        <v>0</v>
      </c>
      <c r="AW22" s="20" t="str">
        <f t="shared" si="86"/>
        <v>0</v>
      </c>
      <c r="AX22" s="20" t="str">
        <f t="shared" si="86"/>
        <v>1</v>
      </c>
      <c r="AY22" s="20" t="str">
        <f t="shared" si="86"/>
        <v>1</v>
      </c>
      <c r="AZ22" s="20" t="str">
        <f t="shared" si="86"/>
        <v>0</v>
      </c>
      <c r="BA22" s="20" t="str">
        <f t="shared" si="86"/>
        <v>0</v>
      </c>
      <c r="BB22" s="20" t="str">
        <f t="shared" si="86"/>
        <v>1</v>
      </c>
      <c r="BC22" s="20" t="str">
        <f t="shared" si="86"/>
        <v>1</v>
      </c>
      <c r="BD22" s="20" t="str">
        <f t="shared" si="86"/>
        <v>1</v>
      </c>
      <c r="BE22" s="20" t="str">
        <f t="shared" si="86"/>
        <v>1</v>
      </c>
      <c r="BF22" s="20" t="str">
        <f t="shared" si="86"/>
        <v>1</v>
      </c>
      <c r="BG22" s="20" t="str">
        <f t="shared" si="86"/>
        <v>1</v>
      </c>
    </row>
    <row r="23" spans="9:59" x14ac:dyDescent="0.3">
      <c r="J23" s="7" t="s">
        <v>40</v>
      </c>
      <c r="K23" s="7" t="s">
        <v>41</v>
      </c>
      <c r="L23" s="7" t="s">
        <v>41</v>
      </c>
      <c r="M23" s="7" t="s">
        <v>41</v>
      </c>
      <c r="N23" s="7" t="s">
        <v>41</v>
      </c>
      <c r="O23" s="7" t="s">
        <v>41</v>
      </c>
      <c r="P23" s="7" t="s">
        <v>41</v>
      </c>
      <c r="Q23" s="7" t="s">
        <v>41</v>
      </c>
      <c r="R23" s="7" t="s">
        <v>41</v>
      </c>
      <c r="S23" s="7" t="s">
        <v>41</v>
      </c>
      <c r="T23" s="7" t="s">
        <v>41</v>
      </c>
      <c r="U23" s="7" t="s">
        <v>41</v>
      </c>
      <c r="V23" s="7" t="s">
        <v>41</v>
      </c>
      <c r="W23" s="7" t="s">
        <v>41</v>
      </c>
      <c r="X23" s="7" t="s">
        <v>41</v>
      </c>
      <c r="Y23" s="7" t="s">
        <v>41</v>
      </c>
      <c r="Z23" s="7" t="s">
        <v>41</v>
      </c>
      <c r="AQ23" s="13">
        <f t="shared" ref="AQ23" si="88">AQ21+AQ22+AQ20</f>
        <v>1</v>
      </c>
      <c r="AR23" s="13">
        <f t="shared" ref="AR23" si="89">AR21+AR22+AR20</f>
        <v>3</v>
      </c>
      <c r="AS23" s="13">
        <f t="shared" ref="AS23" si="90">AS21+AS22+AS20</f>
        <v>2</v>
      </c>
      <c r="AT23" s="13">
        <f t="shared" ref="AT23" si="91">AT21+AT22+AT20</f>
        <v>1</v>
      </c>
      <c r="AU23" s="13">
        <f t="shared" ref="AU23" si="92">AU21+AU22+AU20</f>
        <v>0</v>
      </c>
      <c r="AV23" s="13">
        <f t="shared" ref="AV23" si="93">AV21+AV22+AV20</f>
        <v>1</v>
      </c>
      <c r="AW23" s="13">
        <f t="shared" ref="AW23" si="94">AW21+AW22+AW20</f>
        <v>1</v>
      </c>
      <c r="AX23" s="13">
        <f t="shared" ref="AX23" si="95">AX21+AX22+AX20</f>
        <v>2</v>
      </c>
      <c r="AY23" s="13">
        <f t="shared" ref="AY23" si="96">AY21+AY22+AY20</f>
        <v>2</v>
      </c>
      <c r="AZ23" s="13">
        <f t="shared" ref="AZ23" si="97">AZ21+AZ22+AZ20</f>
        <v>1</v>
      </c>
      <c r="BA23" s="13">
        <f t="shared" ref="BA23" si="98">BA21+BA22+BA20</f>
        <v>2</v>
      </c>
      <c r="BB23" s="13">
        <f t="shared" ref="BB23" si="99">BB21+BB22+BB20</f>
        <v>2</v>
      </c>
      <c r="BC23" s="13">
        <f t="shared" ref="BC23" si="100">BC21+BC22+BC20</f>
        <v>2</v>
      </c>
      <c r="BD23" s="13">
        <f t="shared" ref="BD23" si="101">BD21+BD22+BD20</f>
        <v>3</v>
      </c>
      <c r="BE23" s="13">
        <f t="shared" ref="BE23" si="102">BE21+BE22+BE20</f>
        <v>3</v>
      </c>
      <c r="BF23" s="13">
        <f t="shared" ref="BF23" si="103">BF21+BF22+BF20</f>
        <v>2</v>
      </c>
      <c r="BG23" s="13">
        <f>BG21+BG22+BG20</f>
        <v>2</v>
      </c>
    </row>
    <row r="24" spans="9:59" x14ac:dyDescent="0.3">
      <c r="K24" s="14">
        <f t="shared" ref="K24:Z24" si="104">AR24</f>
        <v>1</v>
      </c>
      <c r="L24" s="14">
        <f t="shared" si="104"/>
        <v>0</v>
      </c>
      <c r="M24" s="14">
        <f t="shared" si="104"/>
        <v>1</v>
      </c>
      <c r="N24" s="14">
        <f t="shared" si="104"/>
        <v>0</v>
      </c>
      <c r="O24" s="14">
        <f t="shared" si="104"/>
        <v>1</v>
      </c>
      <c r="P24" s="14">
        <f t="shared" si="104"/>
        <v>1</v>
      </c>
      <c r="Q24" s="14">
        <f t="shared" si="104"/>
        <v>0</v>
      </c>
      <c r="R24" s="14">
        <f t="shared" si="104"/>
        <v>0</v>
      </c>
      <c r="S24" s="14">
        <f t="shared" si="104"/>
        <v>1</v>
      </c>
      <c r="T24" s="14">
        <f t="shared" si="104"/>
        <v>0</v>
      </c>
      <c r="U24" s="14">
        <f t="shared" si="104"/>
        <v>0</v>
      </c>
      <c r="V24" s="14">
        <f t="shared" si="104"/>
        <v>0</v>
      </c>
      <c r="W24" s="14">
        <f t="shared" si="104"/>
        <v>1</v>
      </c>
      <c r="X24" s="14">
        <f t="shared" si="104"/>
        <v>1</v>
      </c>
      <c r="Y24" s="14">
        <f t="shared" si="104"/>
        <v>0</v>
      </c>
      <c r="Z24" s="14">
        <f t="shared" si="104"/>
        <v>0</v>
      </c>
      <c r="AA24" t="s">
        <v>42</v>
      </c>
      <c r="AB24" s="12">
        <f>IF(K24=0,AB25,-1*_xlfn.BITXOR(AB25-1, POWER(2,15)-1))</f>
        <v>-21364</v>
      </c>
      <c r="AC24" s="15" t="s">
        <v>45</v>
      </c>
      <c r="AF24" s="15"/>
      <c r="AQ24" s="4">
        <f t="shared" ref="AQ24" si="105">MOD(AQ23,2)</f>
        <v>1</v>
      </c>
      <c r="AR24" s="4">
        <f t="shared" ref="AR24" si="106">MOD(AR23,2)</f>
        <v>1</v>
      </c>
      <c r="AS24" s="4">
        <f t="shared" ref="AS24" si="107">MOD(AS23,2)</f>
        <v>0</v>
      </c>
      <c r="AT24" s="4">
        <f t="shared" ref="AT24" si="108">MOD(AT23,2)</f>
        <v>1</v>
      </c>
      <c r="AU24" s="4">
        <f t="shared" ref="AU24" si="109">MOD(AU23,2)</f>
        <v>0</v>
      </c>
      <c r="AV24" s="4">
        <f t="shared" ref="AV24" si="110">MOD(AV23,2)</f>
        <v>1</v>
      </c>
      <c r="AW24" s="4">
        <f t="shared" ref="AW24" si="111">MOD(AW23,2)</f>
        <v>1</v>
      </c>
      <c r="AX24" s="4">
        <f t="shared" ref="AX24" si="112">MOD(AX23,2)</f>
        <v>0</v>
      </c>
      <c r="AY24" s="4">
        <f t="shared" ref="AY24" si="113">MOD(AY23,2)</f>
        <v>0</v>
      </c>
      <c r="AZ24" s="4">
        <f t="shared" ref="AZ24" si="114">MOD(AZ23,2)</f>
        <v>1</v>
      </c>
      <c r="BA24" s="4">
        <f t="shared" ref="BA24" si="115">MOD(BA23,2)</f>
        <v>0</v>
      </c>
      <c r="BB24" s="4">
        <f t="shared" ref="BB24" si="116">MOD(BB23,2)</f>
        <v>0</v>
      </c>
      <c r="BC24" s="4">
        <f t="shared" ref="BC24" si="117">MOD(BC23,2)</f>
        <v>0</v>
      </c>
      <c r="BD24" s="4">
        <f t="shared" ref="BD24" si="118">MOD(BD23,2)</f>
        <v>1</v>
      </c>
      <c r="BE24" s="4">
        <f t="shared" ref="BE24" si="119">MOD(BE23,2)</f>
        <v>1</v>
      </c>
      <c r="BF24" s="4">
        <f t="shared" ref="BF24" si="120">MOD(BF23,2)</f>
        <v>0</v>
      </c>
      <c r="BG24" s="4">
        <f>MOD(BG23,2)</f>
        <v>0</v>
      </c>
    </row>
    <row r="25" spans="9:59" x14ac:dyDescent="0.3">
      <c r="AB25">
        <f>L24*POWER(2, 14)+M24*POWER(2,13)+N24*POWER(2,12)+O24*POWER(2,11)+P24*POWER(2,10)+Q24*POWER(2,9)+R24*POWER(2,8)+S24*POWER(2,7)+T24*POWER(2,6)+U24*POWER(2,5)+V24*POWER(2,4)+W24*POWER(2,3)+X24*POWER(2,2)+Y24*POWER(2,1)+Z24*POWER(2,0)</f>
        <v>11404</v>
      </c>
    </row>
    <row r="26" spans="9:59" x14ac:dyDescent="0.3">
      <c r="AQ26">
        <f t="shared" ref="AQ26:BE26" si="121">IF(AR29&gt;=2,1,0)</f>
        <v>1</v>
      </c>
      <c r="AR26">
        <f t="shared" si="121"/>
        <v>0</v>
      </c>
      <c r="AS26">
        <f t="shared" si="121"/>
        <v>0</v>
      </c>
      <c r="AT26">
        <f t="shared" si="121"/>
        <v>0</v>
      </c>
      <c r="AU26">
        <f t="shared" si="121"/>
        <v>0</v>
      </c>
      <c r="AV26">
        <f t="shared" si="121"/>
        <v>0</v>
      </c>
      <c r="AW26">
        <f t="shared" si="121"/>
        <v>0</v>
      </c>
      <c r="AX26">
        <f t="shared" si="121"/>
        <v>0</v>
      </c>
      <c r="AY26">
        <f t="shared" si="121"/>
        <v>0</v>
      </c>
      <c r="AZ26">
        <f t="shared" si="121"/>
        <v>0</v>
      </c>
      <c r="BA26">
        <f t="shared" si="121"/>
        <v>1</v>
      </c>
      <c r="BB26">
        <f t="shared" si="121"/>
        <v>1</v>
      </c>
      <c r="BC26">
        <f t="shared" si="121"/>
        <v>1</v>
      </c>
      <c r="BD26">
        <f t="shared" si="121"/>
        <v>1</v>
      </c>
      <c r="BE26">
        <f t="shared" si="121"/>
        <v>0</v>
      </c>
      <c r="BF26">
        <f>IF(BG29&gt;=2,1,0)</f>
        <v>0</v>
      </c>
    </row>
    <row r="27" spans="9:59" x14ac:dyDescent="0.3">
      <c r="J27" t="s">
        <v>54</v>
      </c>
      <c r="K27" s="14" t="str">
        <f>MID($F$11, 16-K$1, 1)</f>
        <v>1</v>
      </c>
      <c r="L27" s="14" t="str">
        <f t="shared" ref="L27:Z27" si="122">MID($F$11, 16-L$1, 1)</f>
        <v>1</v>
      </c>
      <c r="M27" s="14" t="str">
        <f t="shared" si="122"/>
        <v>0</v>
      </c>
      <c r="N27" s="14" t="str">
        <f t="shared" si="122"/>
        <v>0</v>
      </c>
      <c r="O27" s="14" t="str">
        <f t="shared" si="122"/>
        <v>0</v>
      </c>
      <c r="P27" s="14" t="str">
        <f t="shared" si="122"/>
        <v>0</v>
      </c>
      <c r="Q27" s="14" t="str">
        <f t="shared" si="122"/>
        <v>1</v>
      </c>
      <c r="R27" s="14" t="str">
        <f t="shared" si="122"/>
        <v>1</v>
      </c>
      <c r="S27" s="14" t="str">
        <f t="shared" si="122"/>
        <v>0</v>
      </c>
      <c r="T27" s="14" t="str">
        <f t="shared" si="122"/>
        <v>0</v>
      </c>
      <c r="U27" s="14" t="str">
        <f t="shared" si="122"/>
        <v>1</v>
      </c>
      <c r="V27" s="14" t="str">
        <f t="shared" si="122"/>
        <v>1</v>
      </c>
      <c r="W27" s="14" t="str">
        <f t="shared" si="122"/>
        <v>1</v>
      </c>
      <c r="X27" s="14" t="str">
        <f t="shared" si="122"/>
        <v>1</v>
      </c>
      <c r="Y27" s="14" t="str">
        <f t="shared" si="122"/>
        <v>1</v>
      </c>
      <c r="Z27" s="14" t="str">
        <f t="shared" si="122"/>
        <v>1</v>
      </c>
      <c r="AB27" s="14">
        <f>D11</f>
        <v>49983</v>
      </c>
      <c r="AC27" s="14">
        <f>C11</f>
        <v>-15553</v>
      </c>
      <c r="AD27" s="17" t="s">
        <v>61</v>
      </c>
      <c r="AE27" s="18">
        <f>AB30</f>
        <v>28619</v>
      </c>
      <c r="AF27" s="15" t="s">
        <v>45</v>
      </c>
      <c r="AG27" s="13" t="s">
        <v>67</v>
      </c>
      <c r="AH27" s="13" t="s">
        <v>68</v>
      </c>
      <c r="AI27" s="13" t="s">
        <v>69</v>
      </c>
      <c r="AJ27" s="13" t="s">
        <v>70</v>
      </c>
      <c r="AK27" s="13" t="s">
        <v>71</v>
      </c>
      <c r="AL27" s="13" t="s">
        <v>72</v>
      </c>
      <c r="AQ27" s="4"/>
      <c r="AR27" s="13" t="str">
        <f t="shared" ref="AR27:BG28" si="123">K27</f>
        <v>1</v>
      </c>
      <c r="AS27" s="13" t="str">
        <f t="shared" si="123"/>
        <v>1</v>
      </c>
      <c r="AT27" s="13" t="str">
        <f t="shared" si="123"/>
        <v>0</v>
      </c>
      <c r="AU27" s="13" t="str">
        <f t="shared" si="123"/>
        <v>0</v>
      </c>
      <c r="AV27" s="13" t="str">
        <f t="shared" si="123"/>
        <v>0</v>
      </c>
      <c r="AW27" s="13" t="str">
        <f t="shared" si="123"/>
        <v>0</v>
      </c>
      <c r="AX27" s="13" t="str">
        <f t="shared" si="123"/>
        <v>1</v>
      </c>
      <c r="AY27" s="13" t="str">
        <f t="shared" si="123"/>
        <v>1</v>
      </c>
      <c r="AZ27" s="13" t="str">
        <f t="shared" si="123"/>
        <v>0</v>
      </c>
      <c r="BA27" s="13" t="str">
        <f t="shared" si="123"/>
        <v>0</v>
      </c>
      <c r="BB27" s="13" t="str">
        <f t="shared" si="123"/>
        <v>1</v>
      </c>
      <c r="BC27" s="13" t="str">
        <f t="shared" si="123"/>
        <v>1</v>
      </c>
      <c r="BD27" s="13" t="str">
        <f t="shared" si="123"/>
        <v>1</v>
      </c>
      <c r="BE27" s="13" t="str">
        <f t="shared" si="123"/>
        <v>1</v>
      </c>
      <c r="BF27" s="13" t="str">
        <f t="shared" si="123"/>
        <v>1</v>
      </c>
      <c r="BG27" s="13" t="str">
        <f t="shared" si="123"/>
        <v>1</v>
      </c>
    </row>
    <row r="28" spans="9:59" x14ac:dyDescent="0.3">
      <c r="I28" s="3" t="s">
        <v>37</v>
      </c>
      <c r="J28" t="s">
        <v>55</v>
      </c>
      <c r="K28" s="14" t="str">
        <f>MID($F$12, 16-K$1, 1)</f>
        <v>1</v>
      </c>
      <c r="L28" s="14" t="str">
        <f t="shared" ref="L28:Z28" si="124">MID($F$12, 16-L$1, 1)</f>
        <v>0</v>
      </c>
      <c r="M28" s="14" t="str">
        <f t="shared" si="124"/>
        <v>1</v>
      </c>
      <c r="N28" s="14" t="str">
        <f t="shared" si="124"/>
        <v>0</v>
      </c>
      <c r="O28" s="14" t="str">
        <f t="shared" si="124"/>
        <v>1</v>
      </c>
      <c r="P28" s="14" t="str">
        <f t="shared" si="124"/>
        <v>1</v>
      </c>
      <c r="Q28" s="14" t="str">
        <f t="shared" si="124"/>
        <v>0</v>
      </c>
      <c r="R28" s="14" t="str">
        <f t="shared" si="124"/>
        <v>0</v>
      </c>
      <c r="S28" s="14" t="str">
        <f t="shared" si="124"/>
        <v>1</v>
      </c>
      <c r="T28" s="14" t="str">
        <f t="shared" si="124"/>
        <v>0</v>
      </c>
      <c r="U28" s="14" t="str">
        <f t="shared" si="124"/>
        <v>0</v>
      </c>
      <c r="V28" s="14" t="str">
        <f t="shared" si="124"/>
        <v>0</v>
      </c>
      <c r="W28" s="14" t="str">
        <f t="shared" si="124"/>
        <v>1</v>
      </c>
      <c r="X28" s="14" t="str">
        <f t="shared" si="124"/>
        <v>1</v>
      </c>
      <c r="Y28" s="14" t="str">
        <f t="shared" si="124"/>
        <v>0</v>
      </c>
      <c r="Z28" s="14" t="str">
        <f t="shared" si="124"/>
        <v>0</v>
      </c>
      <c r="AB28" s="14">
        <f>D12</f>
        <v>44172</v>
      </c>
      <c r="AC28" s="14">
        <f>C12</f>
        <v>-21364</v>
      </c>
      <c r="AD28" s="17" t="s">
        <v>62</v>
      </c>
      <c r="AE28" s="18">
        <f>AC27+AC28</f>
        <v>-36917</v>
      </c>
      <c r="AF28" s="15" t="s">
        <v>45</v>
      </c>
      <c r="AG28" s="13">
        <f>AQ26</f>
        <v>1</v>
      </c>
      <c r="AH28" s="13">
        <f>IF(BG30,0,1)</f>
        <v>0</v>
      </c>
      <c r="AI28" s="13">
        <f>BC26</f>
        <v>1</v>
      </c>
      <c r="AJ28">
        <f>IF(SUM(AQ30:BG30)=0,1,0)</f>
        <v>0</v>
      </c>
      <c r="AK28">
        <f>AR30</f>
        <v>0</v>
      </c>
      <c r="AL28">
        <f>IF(_xlfn.XOR(AQ26,AR26),1,0)</f>
        <v>1</v>
      </c>
      <c r="AQ28" s="19"/>
      <c r="AR28" s="20" t="str">
        <f t="shared" si="123"/>
        <v>1</v>
      </c>
      <c r="AS28" s="20" t="str">
        <f t="shared" si="123"/>
        <v>0</v>
      </c>
      <c r="AT28" s="20" t="str">
        <f t="shared" si="123"/>
        <v>1</v>
      </c>
      <c r="AU28" s="20" t="str">
        <f t="shared" si="123"/>
        <v>0</v>
      </c>
      <c r="AV28" s="20" t="str">
        <f t="shared" si="123"/>
        <v>1</v>
      </c>
      <c r="AW28" s="20" t="str">
        <f t="shared" si="123"/>
        <v>1</v>
      </c>
      <c r="AX28" s="20" t="str">
        <f t="shared" si="123"/>
        <v>0</v>
      </c>
      <c r="AY28" s="20" t="str">
        <f t="shared" si="123"/>
        <v>0</v>
      </c>
      <c r="AZ28" s="20" t="str">
        <f t="shared" si="123"/>
        <v>1</v>
      </c>
      <c r="BA28" s="20" t="str">
        <f t="shared" si="123"/>
        <v>0</v>
      </c>
      <c r="BB28" s="20" t="str">
        <f t="shared" si="123"/>
        <v>0</v>
      </c>
      <c r="BC28" s="20" t="str">
        <f t="shared" si="123"/>
        <v>0</v>
      </c>
      <c r="BD28" s="20" t="str">
        <f t="shared" si="123"/>
        <v>1</v>
      </c>
      <c r="BE28" s="20" t="str">
        <f t="shared" si="123"/>
        <v>1</v>
      </c>
      <c r="BF28" s="20" t="str">
        <f t="shared" si="123"/>
        <v>0</v>
      </c>
      <c r="BG28" s="20" t="str">
        <f t="shared" si="123"/>
        <v>0</v>
      </c>
    </row>
    <row r="29" spans="9:59" x14ac:dyDescent="0.3">
      <c r="J29" s="7" t="s">
        <v>40</v>
      </c>
      <c r="K29" s="7" t="s">
        <v>41</v>
      </c>
      <c r="L29" s="7" t="s">
        <v>41</v>
      </c>
      <c r="M29" s="7" t="s">
        <v>41</v>
      </c>
      <c r="N29" s="7" t="s">
        <v>41</v>
      </c>
      <c r="O29" s="7" t="s">
        <v>41</v>
      </c>
      <c r="P29" s="7" t="s">
        <v>41</v>
      </c>
      <c r="Q29" s="7" t="s">
        <v>41</v>
      </c>
      <c r="R29" s="7" t="s">
        <v>41</v>
      </c>
      <c r="S29" s="7" t="s">
        <v>41</v>
      </c>
      <c r="T29" s="7" t="s">
        <v>41</v>
      </c>
      <c r="U29" s="7" t="s">
        <v>41</v>
      </c>
      <c r="V29" s="7" t="s">
        <v>41</v>
      </c>
      <c r="W29" s="7" t="s">
        <v>41</v>
      </c>
      <c r="X29" s="7" t="s">
        <v>41</v>
      </c>
      <c r="Y29" s="7" t="s">
        <v>41</v>
      </c>
      <c r="Z29" s="7" t="s">
        <v>41</v>
      </c>
      <c r="AQ29" s="13">
        <f t="shared" ref="AQ29" si="125">AQ27+AQ28+AQ26</f>
        <v>1</v>
      </c>
      <c r="AR29" s="13">
        <f t="shared" ref="AR29" si="126">AR27+AR28+AR26</f>
        <v>2</v>
      </c>
      <c r="AS29" s="13">
        <f t="shared" ref="AS29" si="127">AS27+AS28+AS26</f>
        <v>1</v>
      </c>
      <c r="AT29" s="13">
        <f t="shared" ref="AT29" si="128">AT27+AT28+AT26</f>
        <v>1</v>
      </c>
      <c r="AU29" s="13">
        <f t="shared" ref="AU29" si="129">AU27+AU28+AU26</f>
        <v>0</v>
      </c>
      <c r="AV29" s="13">
        <f t="shared" ref="AV29" si="130">AV27+AV28+AV26</f>
        <v>1</v>
      </c>
      <c r="AW29" s="13">
        <f t="shared" ref="AW29" si="131">AW27+AW28+AW26</f>
        <v>1</v>
      </c>
      <c r="AX29" s="13">
        <f t="shared" ref="AX29" si="132">AX27+AX28+AX26</f>
        <v>1</v>
      </c>
      <c r="AY29" s="13">
        <f t="shared" ref="AY29" si="133">AY27+AY28+AY26</f>
        <v>1</v>
      </c>
      <c r="AZ29" s="13">
        <f t="shared" ref="AZ29" si="134">AZ27+AZ28+AZ26</f>
        <v>1</v>
      </c>
      <c r="BA29" s="13">
        <f t="shared" ref="BA29" si="135">BA27+BA28+BA26</f>
        <v>1</v>
      </c>
      <c r="BB29" s="13">
        <f t="shared" ref="BB29" si="136">BB27+BB28+BB26</f>
        <v>2</v>
      </c>
      <c r="BC29" s="13">
        <f t="shared" ref="BC29" si="137">BC27+BC28+BC26</f>
        <v>2</v>
      </c>
      <c r="BD29" s="13">
        <f t="shared" ref="BD29" si="138">BD27+BD28+BD26</f>
        <v>3</v>
      </c>
      <c r="BE29" s="13">
        <f t="shared" ref="BE29" si="139">BE27+BE28+BE26</f>
        <v>2</v>
      </c>
      <c r="BF29" s="13">
        <f t="shared" ref="BF29" si="140">BF27+BF28+BF26</f>
        <v>1</v>
      </c>
      <c r="BG29" s="13">
        <f>BG27+BG28+BG26</f>
        <v>1</v>
      </c>
    </row>
    <row r="30" spans="9:59" x14ac:dyDescent="0.3">
      <c r="K30" s="14">
        <f t="shared" ref="K30:Z30" si="141">AR30</f>
        <v>0</v>
      </c>
      <c r="L30" s="14">
        <f t="shared" si="141"/>
        <v>1</v>
      </c>
      <c r="M30" s="14">
        <f t="shared" si="141"/>
        <v>1</v>
      </c>
      <c r="N30" s="14">
        <f t="shared" si="141"/>
        <v>0</v>
      </c>
      <c r="O30" s="14">
        <f t="shared" si="141"/>
        <v>1</v>
      </c>
      <c r="P30" s="14">
        <f t="shared" si="141"/>
        <v>1</v>
      </c>
      <c r="Q30" s="14">
        <f t="shared" si="141"/>
        <v>1</v>
      </c>
      <c r="R30" s="14">
        <f t="shared" si="141"/>
        <v>1</v>
      </c>
      <c r="S30" s="14">
        <f t="shared" si="141"/>
        <v>1</v>
      </c>
      <c r="T30" s="14">
        <f t="shared" si="141"/>
        <v>1</v>
      </c>
      <c r="U30" s="14">
        <f t="shared" si="141"/>
        <v>0</v>
      </c>
      <c r="V30" s="14">
        <f t="shared" si="141"/>
        <v>0</v>
      </c>
      <c r="W30" s="14">
        <f t="shared" si="141"/>
        <v>1</v>
      </c>
      <c r="X30" s="14">
        <f t="shared" si="141"/>
        <v>0</v>
      </c>
      <c r="Y30" s="14">
        <f t="shared" si="141"/>
        <v>1</v>
      </c>
      <c r="Z30" s="14">
        <f t="shared" si="141"/>
        <v>1</v>
      </c>
      <c r="AA30" t="s">
        <v>42</v>
      </c>
      <c r="AB30" s="12">
        <f>IF(K30=0,AB31,-1*_xlfn.BITXOR(AB31-1, POWER(2,15)-1))</f>
        <v>28619</v>
      </c>
      <c r="AC30" s="15" t="s">
        <v>45</v>
      </c>
      <c r="AF30" s="15"/>
      <c r="AQ30" s="4">
        <f t="shared" ref="AQ30" si="142">MOD(AQ29,2)</f>
        <v>1</v>
      </c>
      <c r="AR30" s="4">
        <f t="shared" ref="AR30" si="143">MOD(AR29,2)</f>
        <v>0</v>
      </c>
      <c r="AS30" s="4">
        <f t="shared" ref="AS30" si="144">MOD(AS29,2)</f>
        <v>1</v>
      </c>
      <c r="AT30" s="4">
        <f t="shared" ref="AT30" si="145">MOD(AT29,2)</f>
        <v>1</v>
      </c>
      <c r="AU30" s="4">
        <f t="shared" ref="AU30" si="146">MOD(AU29,2)</f>
        <v>0</v>
      </c>
      <c r="AV30" s="4">
        <f t="shared" ref="AV30" si="147">MOD(AV29,2)</f>
        <v>1</v>
      </c>
      <c r="AW30" s="4">
        <f t="shared" ref="AW30" si="148">MOD(AW29,2)</f>
        <v>1</v>
      </c>
      <c r="AX30" s="4">
        <f t="shared" ref="AX30" si="149">MOD(AX29,2)</f>
        <v>1</v>
      </c>
      <c r="AY30" s="4">
        <f t="shared" ref="AY30" si="150">MOD(AY29,2)</f>
        <v>1</v>
      </c>
      <c r="AZ30" s="4">
        <f t="shared" ref="AZ30" si="151">MOD(AZ29,2)</f>
        <v>1</v>
      </c>
      <c r="BA30" s="4">
        <f t="shared" ref="BA30" si="152">MOD(BA29,2)</f>
        <v>1</v>
      </c>
      <c r="BB30" s="4">
        <f t="shared" ref="BB30" si="153">MOD(BB29,2)</f>
        <v>0</v>
      </c>
      <c r="BC30" s="4">
        <f t="shared" ref="BC30" si="154">MOD(BC29,2)</f>
        <v>0</v>
      </c>
      <c r="BD30" s="4">
        <f t="shared" ref="BD30" si="155">MOD(BD29,2)</f>
        <v>1</v>
      </c>
      <c r="BE30" s="4">
        <f t="shared" ref="BE30" si="156">MOD(BE29,2)</f>
        <v>0</v>
      </c>
      <c r="BF30" s="4">
        <f t="shared" ref="BF30" si="157">MOD(BF29,2)</f>
        <v>1</v>
      </c>
      <c r="BG30" s="4">
        <f>MOD(BG29,2)</f>
        <v>1</v>
      </c>
    </row>
    <row r="31" spans="9:59" x14ac:dyDescent="0.3">
      <c r="AB31">
        <f>L30*POWER(2, 14)+M30*POWER(2,13)+N30*POWER(2,12)+O30*POWER(2,11)+P30*POWER(2,10)+Q30*POWER(2,9)+R30*POWER(2,8)+S30*POWER(2,7)+T30*POWER(2,6)+U30*POWER(2,5)+V30*POWER(2,4)+W30*POWER(2,3)+X30*POWER(2,2)+Y30*POWER(2,1)+Z30*POWER(2,0)</f>
        <v>28619</v>
      </c>
    </row>
    <row r="32" spans="9:59" x14ac:dyDescent="0.3">
      <c r="AQ32">
        <f t="shared" ref="AQ32:BE32" si="158">IF(AR35&gt;=2,1,0)</f>
        <v>0</v>
      </c>
      <c r="AR32">
        <f t="shared" si="158"/>
        <v>0</v>
      </c>
      <c r="AS32">
        <f t="shared" si="158"/>
        <v>0</v>
      </c>
      <c r="AT32">
        <f t="shared" si="158"/>
        <v>0</v>
      </c>
      <c r="AU32">
        <f t="shared" si="158"/>
        <v>0</v>
      </c>
      <c r="AV32">
        <f t="shared" si="158"/>
        <v>1</v>
      </c>
      <c r="AW32">
        <f t="shared" si="158"/>
        <v>1</v>
      </c>
      <c r="AX32">
        <f t="shared" si="158"/>
        <v>0</v>
      </c>
      <c r="AY32">
        <f t="shared" si="158"/>
        <v>0</v>
      </c>
      <c r="AZ32">
        <f t="shared" si="158"/>
        <v>0</v>
      </c>
      <c r="BA32">
        <f t="shared" si="158"/>
        <v>1</v>
      </c>
      <c r="BB32">
        <f t="shared" si="158"/>
        <v>1</v>
      </c>
      <c r="BC32">
        <f t="shared" si="158"/>
        <v>1</v>
      </c>
      <c r="BD32">
        <f t="shared" si="158"/>
        <v>1</v>
      </c>
      <c r="BE32">
        <f t="shared" si="158"/>
        <v>1</v>
      </c>
      <c r="BF32">
        <f>IF(BG35&gt;=2,1,0)</f>
        <v>1</v>
      </c>
    </row>
    <row r="33" spans="9:59" x14ac:dyDescent="0.3">
      <c r="J33" t="s">
        <v>38</v>
      </c>
      <c r="K33" s="14" t="str">
        <f>MID($F$4, 16-K$1, 1)</f>
        <v>0</v>
      </c>
      <c r="L33" s="14" t="str">
        <f t="shared" ref="L33:Z33" si="159">MID($F$4, 16-L$1, 1)</f>
        <v>0</v>
      </c>
      <c r="M33" s="14" t="str">
        <f t="shared" si="159"/>
        <v>0</v>
      </c>
      <c r="N33" s="14" t="str">
        <f t="shared" si="159"/>
        <v>1</v>
      </c>
      <c r="O33" s="14" t="str">
        <f t="shared" si="159"/>
        <v>0</v>
      </c>
      <c r="P33" s="14" t="str">
        <f t="shared" si="159"/>
        <v>1</v>
      </c>
      <c r="Q33" s="14" t="str">
        <f t="shared" si="159"/>
        <v>1</v>
      </c>
      <c r="R33" s="14" t="str">
        <f t="shared" si="159"/>
        <v>0</v>
      </c>
      <c r="S33" s="14" t="str">
        <f t="shared" si="159"/>
        <v>1</v>
      </c>
      <c r="T33" s="14" t="str">
        <f t="shared" si="159"/>
        <v>0</v>
      </c>
      <c r="U33" s="14" t="str">
        <f t="shared" si="159"/>
        <v>1</v>
      </c>
      <c r="V33" s="14" t="str">
        <f t="shared" si="159"/>
        <v>1</v>
      </c>
      <c r="W33" s="14" t="str">
        <f t="shared" si="159"/>
        <v>0</v>
      </c>
      <c r="X33" s="14" t="str">
        <f t="shared" si="159"/>
        <v>0</v>
      </c>
      <c r="Y33" s="14" t="str">
        <f t="shared" si="159"/>
        <v>1</v>
      </c>
      <c r="Z33" s="14" t="str">
        <f t="shared" si="159"/>
        <v>1</v>
      </c>
      <c r="AB33" s="14">
        <f>D4</f>
        <v>5811</v>
      </c>
      <c r="AC33" s="14">
        <f>C4</f>
        <v>5811</v>
      </c>
      <c r="AD33" s="17" t="s">
        <v>63</v>
      </c>
      <c r="AE33" s="18">
        <f>AB36</f>
        <v>-9742</v>
      </c>
      <c r="AF33" s="15" t="s">
        <v>45</v>
      </c>
      <c r="AG33" s="13" t="s">
        <v>67</v>
      </c>
      <c r="AH33" s="13" t="s">
        <v>68</v>
      </c>
      <c r="AI33" s="13" t="s">
        <v>69</v>
      </c>
      <c r="AJ33" s="13" t="s">
        <v>70</v>
      </c>
      <c r="AK33" s="13" t="s">
        <v>71</v>
      </c>
      <c r="AL33" s="13" t="s">
        <v>72</v>
      </c>
      <c r="AQ33" s="4"/>
      <c r="AR33" s="13" t="str">
        <f t="shared" ref="AR33:BG34" si="160">K33</f>
        <v>0</v>
      </c>
      <c r="AS33" s="13" t="str">
        <f t="shared" si="160"/>
        <v>0</v>
      </c>
      <c r="AT33" s="13" t="str">
        <f t="shared" si="160"/>
        <v>0</v>
      </c>
      <c r="AU33" s="13" t="str">
        <f t="shared" si="160"/>
        <v>1</v>
      </c>
      <c r="AV33" s="13" t="str">
        <f t="shared" si="160"/>
        <v>0</v>
      </c>
      <c r="AW33" s="13" t="str">
        <f t="shared" si="160"/>
        <v>1</v>
      </c>
      <c r="AX33" s="13" t="str">
        <f t="shared" si="160"/>
        <v>1</v>
      </c>
      <c r="AY33" s="13" t="str">
        <f t="shared" si="160"/>
        <v>0</v>
      </c>
      <c r="AZ33" s="13" t="str">
        <f t="shared" si="160"/>
        <v>1</v>
      </c>
      <c r="BA33" s="13" t="str">
        <f t="shared" si="160"/>
        <v>0</v>
      </c>
      <c r="BB33" s="13" t="str">
        <f t="shared" si="160"/>
        <v>1</v>
      </c>
      <c r="BC33" s="13" t="str">
        <f t="shared" si="160"/>
        <v>1</v>
      </c>
      <c r="BD33" s="13" t="str">
        <f t="shared" si="160"/>
        <v>0</v>
      </c>
      <c r="BE33" s="13" t="str">
        <f t="shared" si="160"/>
        <v>0</v>
      </c>
      <c r="BF33" s="13" t="str">
        <f t="shared" si="160"/>
        <v>1</v>
      </c>
      <c r="BG33" s="13" t="str">
        <f t="shared" si="160"/>
        <v>1</v>
      </c>
    </row>
    <row r="34" spans="9:59" x14ac:dyDescent="0.3">
      <c r="I34" s="3" t="s">
        <v>37</v>
      </c>
      <c r="J34" t="s">
        <v>54</v>
      </c>
      <c r="K34" s="14" t="str">
        <f>MID($F$11, 16-K$1, 1)</f>
        <v>1</v>
      </c>
      <c r="L34" s="14" t="str">
        <f t="shared" ref="L34:Z34" si="161">MID($F$11, 16-L$1, 1)</f>
        <v>1</v>
      </c>
      <c r="M34" s="14" t="str">
        <f t="shared" si="161"/>
        <v>0</v>
      </c>
      <c r="N34" s="14" t="str">
        <f t="shared" si="161"/>
        <v>0</v>
      </c>
      <c r="O34" s="14" t="str">
        <f t="shared" si="161"/>
        <v>0</v>
      </c>
      <c r="P34" s="14" t="str">
        <f t="shared" si="161"/>
        <v>0</v>
      </c>
      <c r="Q34" s="14" t="str">
        <f t="shared" si="161"/>
        <v>1</v>
      </c>
      <c r="R34" s="14" t="str">
        <f t="shared" si="161"/>
        <v>1</v>
      </c>
      <c r="S34" s="14" t="str">
        <f t="shared" si="161"/>
        <v>0</v>
      </c>
      <c r="T34" s="14" t="str">
        <f t="shared" si="161"/>
        <v>0</v>
      </c>
      <c r="U34" s="14" t="str">
        <f t="shared" si="161"/>
        <v>1</v>
      </c>
      <c r="V34" s="14" t="str">
        <f t="shared" si="161"/>
        <v>1</v>
      </c>
      <c r="W34" s="14" t="str">
        <f t="shared" si="161"/>
        <v>1</v>
      </c>
      <c r="X34" s="14" t="str">
        <f t="shared" si="161"/>
        <v>1</v>
      </c>
      <c r="Y34" s="14" t="str">
        <f t="shared" si="161"/>
        <v>1</v>
      </c>
      <c r="Z34" s="14" t="str">
        <f t="shared" si="161"/>
        <v>1</v>
      </c>
      <c r="AB34" s="14">
        <f>D11</f>
        <v>49983</v>
      </c>
      <c r="AC34" s="14">
        <f>C11</f>
        <v>-15553</v>
      </c>
      <c r="AD34" s="17" t="s">
        <v>64</v>
      </c>
      <c r="AE34" s="18">
        <f>AC33+AC34</f>
        <v>-9742</v>
      </c>
      <c r="AF34" s="15" t="s">
        <v>45</v>
      </c>
      <c r="AG34" s="13">
        <f>AQ32</f>
        <v>0</v>
      </c>
      <c r="AH34" s="13">
        <f>IF(BG36,0,1)</f>
        <v>1</v>
      </c>
      <c r="AI34" s="13">
        <f>BC32</f>
        <v>1</v>
      </c>
      <c r="AJ34">
        <f>IF(SUM(AQ36:BG36)=0,1,0)</f>
        <v>0</v>
      </c>
      <c r="AK34">
        <f>AR36</f>
        <v>1</v>
      </c>
      <c r="AL34">
        <f>IF(_xlfn.XOR(AQ32,AR32),1,0)</f>
        <v>0</v>
      </c>
      <c r="AQ34" s="19"/>
      <c r="AR34" s="20" t="str">
        <f t="shared" si="160"/>
        <v>1</v>
      </c>
      <c r="AS34" s="20" t="str">
        <f t="shared" si="160"/>
        <v>1</v>
      </c>
      <c r="AT34" s="20" t="str">
        <f t="shared" si="160"/>
        <v>0</v>
      </c>
      <c r="AU34" s="20" t="str">
        <f t="shared" si="160"/>
        <v>0</v>
      </c>
      <c r="AV34" s="20" t="str">
        <f t="shared" si="160"/>
        <v>0</v>
      </c>
      <c r="AW34" s="20" t="str">
        <f t="shared" si="160"/>
        <v>0</v>
      </c>
      <c r="AX34" s="20" t="str">
        <f t="shared" si="160"/>
        <v>1</v>
      </c>
      <c r="AY34" s="20" t="str">
        <f t="shared" si="160"/>
        <v>1</v>
      </c>
      <c r="AZ34" s="20" t="str">
        <f t="shared" si="160"/>
        <v>0</v>
      </c>
      <c r="BA34" s="20" t="str">
        <f t="shared" si="160"/>
        <v>0</v>
      </c>
      <c r="BB34" s="20" t="str">
        <f t="shared" si="160"/>
        <v>1</v>
      </c>
      <c r="BC34" s="20" t="str">
        <f t="shared" si="160"/>
        <v>1</v>
      </c>
      <c r="BD34" s="20" t="str">
        <f t="shared" si="160"/>
        <v>1</v>
      </c>
      <c r="BE34" s="20" t="str">
        <f t="shared" si="160"/>
        <v>1</v>
      </c>
      <c r="BF34" s="20" t="str">
        <f t="shared" si="160"/>
        <v>1</v>
      </c>
      <c r="BG34" s="20" t="str">
        <f t="shared" si="160"/>
        <v>1</v>
      </c>
    </row>
    <row r="35" spans="9:59" x14ac:dyDescent="0.3">
      <c r="J35" s="7" t="s">
        <v>40</v>
      </c>
      <c r="K35" s="7" t="s">
        <v>41</v>
      </c>
      <c r="L35" s="7" t="s">
        <v>41</v>
      </c>
      <c r="M35" s="7" t="s">
        <v>41</v>
      </c>
      <c r="N35" s="7" t="s">
        <v>41</v>
      </c>
      <c r="O35" s="7" t="s">
        <v>41</v>
      </c>
      <c r="P35" s="7" t="s">
        <v>41</v>
      </c>
      <c r="Q35" s="7" t="s">
        <v>41</v>
      </c>
      <c r="R35" s="7" t="s">
        <v>41</v>
      </c>
      <c r="S35" s="7" t="s">
        <v>41</v>
      </c>
      <c r="T35" s="7" t="s">
        <v>41</v>
      </c>
      <c r="U35" s="7" t="s">
        <v>41</v>
      </c>
      <c r="V35" s="7" t="s">
        <v>41</v>
      </c>
      <c r="W35" s="7" t="s">
        <v>41</v>
      </c>
      <c r="X35" s="7" t="s">
        <v>41</v>
      </c>
      <c r="Y35" s="7" t="s">
        <v>41</v>
      </c>
      <c r="Z35" s="7" t="s">
        <v>41</v>
      </c>
      <c r="AQ35" s="13">
        <f t="shared" ref="AQ35" si="162">AQ33+AQ34+AQ32</f>
        <v>0</v>
      </c>
      <c r="AR35" s="13">
        <f t="shared" ref="AR35" si="163">AR33+AR34+AR32</f>
        <v>1</v>
      </c>
      <c r="AS35" s="13">
        <f t="shared" ref="AS35" si="164">AS33+AS34+AS32</f>
        <v>1</v>
      </c>
      <c r="AT35" s="13">
        <f t="shared" ref="AT35" si="165">AT33+AT34+AT32</f>
        <v>0</v>
      </c>
      <c r="AU35" s="13">
        <f t="shared" ref="AU35" si="166">AU33+AU34+AU32</f>
        <v>1</v>
      </c>
      <c r="AV35" s="13">
        <f t="shared" ref="AV35" si="167">AV33+AV34+AV32</f>
        <v>1</v>
      </c>
      <c r="AW35" s="13">
        <f t="shared" ref="AW35" si="168">AW33+AW34+AW32</f>
        <v>2</v>
      </c>
      <c r="AX35" s="13">
        <f t="shared" ref="AX35" si="169">AX33+AX34+AX32</f>
        <v>2</v>
      </c>
      <c r="AY35" s="13">
        <f t="shared" ref="AY35" si="170">AY33+AY34+AY32</f>
        <v>1</v>
      </c>
      <c r="AZ35" s="13">
        <f t="shared" ref="AZ35" si="171">AZ33+AZ34+AZ32</f>
        <v>1</v>
      </c>
      <c r="BA35" s="13">
        <f t="shared" ref="BA35" si="172">BA33+BA34+BA32</f>
        <v>1</v>
      </c>
      <c r="BB35" s="13">
        <f t="shared" ref="BB35" si="173">BB33+BB34+BB32</f>
        <v>3</v>
      </c>
      <c r="BC35" s="13">
        <f t="shared" ref="BC35" si="174">BC33+BC34+BC32</f>
        <v>3</v>
      </c>
      <c r="BD35" s="13">
        <f t="shared" ref="BD35" si="175">BD33+BD34+BD32</f>
        <v>2</v>
      </c>
      <c r="BE35" s="13">
        <f t="shared" ref="BE35" si="176">BE33+BE34+BE32</f>
        <v>2</v>
      </c>
      <c r="BF35" s="13">
        <f t="shared" ref="BF35" si="177">BF33+BF34+BF32</f>
        <v>3</v>
      </c>
      <c r="BG35" s="13">
        <f>BG33+BG34+BG32</f>
        <v>2</v>
      </c>
    </row>
    <row r="36" spans="9:59" x14ac:dyDescent="0.3">
      <c r="K36" s="14">
        <f t="shared" ref="K36:Z36" si="178">AR36</f>
        <v>1</v>
      </c>
      <c r="L36" s="14">
        <f t="shared" si="178"/>
        <v>1</v>
      </c>
      <c r="M36" s="14">
        <f t="shared" si="178"/>
        <v>0</v>
      </c>
      <c r="N36" s="14">
        <f t="shared" si="178"/>
        <v>1</v>
      </c>
      <c r="O36" s="14">
        <f t="shared" si="178"/>
        <v>1</v>
      </c>
      <c r="P36" s="14">
        <f t="shared" si="178"/>
        <v>0</v>
      </c>
      <c r="Q36" s="14">
        <f t="shared" si="178"/>
        <v>0</v>
      </c>
      <c r="R36" s="14">
        <f t="shared" si="178"/>
        <v>1</v>
      </c>
      <c r="S36" s="14">
        <f t="shared" si="178"/>
        <v>1</v>
      </c>
      <c r="T36" s="14">
        <f t="shared" si="178"/>
        <v>1</v>
      </c>
      <c r="U36" s="14">
        <f t="shared" si="178"/>
        <v>1</v>
      </c>
      <c r="V36" s="14">
        <f t="shared" si="178"/>
        <v>1</v>
      </c>
      <c r="W36" s="14">
        <f t="shared" si="178"/>
        <v>0</v>
      </c>
      <c r="X36" s="14">
        <f t="shared" si="178"/>
        <v>0</v>
      </c>
      <c r="Y36" s="14">
        <f t="shared" si="178"/>
        <v>1</v>
      </c>
      <c r="Z36" s="14">
        <f t="shared" si="178"/>
        <v>0</v>
      </c>
      <c r="AA36" t="s">
        <v>42</v>
      </c>
      <c r="AB36" s="12">
        <f>IF(K36=0,AB37,-1*_xlfn.BITXOR(AB37-1, POWER(2,15)-1))</f>
        <v>-9742</v>
      </c>
      <c r="AC36" s="15" t="s">
        <v>45</v>
      </c>
      <c r="AF36" s="15"/>
      <c r="AQ36" s="4">
        <f t="shared" ref="AQ36" si="179">MOD(AQ35,2)</f>
        <v>0</v>
      </c>
      <c r="AR36" s="4">
        <f t="shared" ref="AR36" si="180">MOD(AR35,2)</f>
        <v>1</v>
      </c>
      <c r="AS36" s="4">
        <f t="shared" ref="AS36" si="181">MOD(AS35,2)</f>
        <v>1</v>
      </c>
      <c r="AT36" s="4">
        <f t="shared" ref="AT36" si="182">MOD(AT35,2)</f>
        <v>0</v>
      </c>
      <c r="AU36" s="4">
        <f t="shared" ref="AU36" si="183">MOD(AU35,2)</f>
        <v>1</v>
      </c>
      <c r="AV36" s="4">
        <f t="shared" ref="AV36" si="184">MOD(AV35,2)</f>
        <v>1</v>
      </c>
      <c r="AW36" s="4">
        <f t="shared" ref="AW36" si="185">MOD(AW35,2)</f>
        <v>0</v>
      </c>
      <c r="AX36" s="4">
        <f t="shared" ref="AX36" si="186">MOD(AX35,2)</f>
        <v>0</v>
      </c>
      <c r="AY36" s="4">
        <f t="shared" ref="AY36" si="187">MOD(AY35,2)</f>
        <v>1</v>
      </c>
      <c r="AZ36" s="4">
        <f t="shared" ref="AZ36" si="188">MOD(AZ35,2)</f>
        <v>1</v>
      </c>
      <c r="BA36" s="4">
        <f t="shared" ref="BA36" si="189">MOD(BA35,2)</f>
        <v>1</v>
      </c>
      <c r="BB36" s="4">
        <f t="shared" ref="BB36" si="190">MOD(BB35,2)</f>
        <v>1</v>
      </c>
      <c r="BC36" s="4">
        <f t="shared" ref="BC36" si="191">MOD(BC35,2)</f>
        <v>1</v>
      </c>
      <c r="BD36" s="4">
        <f t="shared" ref="BD36" si="192">MOD(BD35,2)</f>
        <v>0</v>
      </c>
      <c r="BE36" s="4">
        <f t="shared" ref="BE36" si="193">MOD(BE35,2)</f>
        <v>0</v>
      </c>
      <c r="BF36" s="4">
        <f t="shared" ref="BF36" si="194">MOD(BF35,2)</f>
        <v>1</v>
      </c>
      <c r="BG36" s="4">
        <f>MOD(BG35,2)</f>
        <v>0</v>
      </c>
    </row>
    <row r="37" spans="9:59" x14ac:dyDescent="0.3">
      <c r="AB37">
        <f>L36*POWER(2, 14)+M36*POWER(2,13)+N36*POWER(2,12)+O36*POWER(2,11)+P36*POWER(2,10)+Q36*POWER(2,9)+R36*POWER(2,8)+S36*POWER(2,7)+T36*POWER(2,6)+U36*POWER(2,5)+V36*POWER(2,4)+W36*POWER(2,3)+X36*POWER(2,2)+Y36*POWER(2,1)+Z36*POWER(2,0)</f>
        <v>23026</v>
      </c>
    </row>
    <row r="38" spans="9:59" x14ac:dyDescent="0.3">
      <c r="AQ38">
        <f t="shared" ref="AQ38:BE38" si="195">IF(AR41&gt;=2,1,0)</f>
        <v>1</v>
      </c>
      <c r="AR38">
        <f t="shared" si="195"/>
        <v>1</v>
      </c>
      <c r="AS38">
        <f t="shared" si="195"/>
        <v>0</v>
      </c>
      <c r="AT38">
        <f t="shared" si="195"/>
        <v>1</v>
      </c>
      <c r="AU38">
        <f t="shared" si="195"/>
        <v>0</v>
      </c>
      <c r="AV38">
        <f t="shared" si="195"/>
        <v>0</v>
      </c>
      <c r="AW38">
        <f t="shared" si="195"/>
        <v>1</v>
      </c>
      <c r="AX38">
        <f t="shared" si="195"/>
        <v>1</v>
      </c>
      <c r="AY38">
        <f t="shared" si="195"/>
        <v>1</v>
      </c>
      <c r="AZ38">
        <f t="shared" si="195"/>
        <v>1</v>
      </c>
      <c r="BA38">
        <f t="shared" si="195"/>
        <v>1</v>
      </c>
      <c r="BB38">
        <f t="shared" si="195"/>
        <v>1</v>
      </c>
      <c r="BC38">
        <f t="shared" si="195"/>
        <v>0</v>
      </c>
      <c r="BD38">
        <f t="shared" si="195"/>
        <v>0</v>
      </c>
      <c r="BE38">
        <f t="shared" si="195"/>
        <v>0</v>
      </c>
      <c r="BF38">
        <f>IF(BG41&gt;=2,1,0)</f>
        <v>0</v>
      </c>
    </row>
    <row r="39" spans="9:59" x14ac:dyDescent="0.3">
      <c r="J39" t="s">
        <v>56</v>
      </c>
      <c r="K39" s="14" t="str">
        <f>MID($F$14, 16-K$1, 1)</f>
        <v>1</v>
      </c>
      <c r="L39" s="14" t="str">
        <f t="shared" ref="L39:Z39" si="196">MID($F$14, 16-L$1, 1)</f>
        <v>1</v>
      </c>
      <c r="M39" s="14" t="str">
        <f t="shared" si="196"/>
        <v>0</v>
      </c>
      <c r="N39" s="14" t="str">
        <f t="shared" si="196"/>
        <v>1</v>
      </c>
      <c r="O39" s="14" t="str">
        <f t="shared" si="196"/>
        <v>1</v>
      </c>
      <c r="P39" s="14" t="str">
        <f t="shared" si="196"/>
        <v>0</v>
      </c>
      <c r="Q39" s="14" t="str">
        <f t="shared" si="196"/>
        <v>0</v>
      </c>
      <c r="R39" s="14" t="str">
        <f t="shared" si="196"/>
        <v>1</v>
      </c>
      <c r="S39" s="14" t="str">
        <f t="shared" si="196"/>
        <v>1</v>
      </c>
      <c r="T39" s="14" t="str">
        <f t="shared" si="196"/>
        <v>1</v>
      </c>
      <c r="U39" s="14" t="str">
        <f t="shared" si="196"/>
        <v>1</v>
      </c>
      <c r="V39" s="14" t="str">
        <f t="shared" si="196"/>
        <v>1</v>
      </c>
      <c r="W39" s="14" t="str">
        <f t="shared" si="196"/>
        <v>0</v>
      </c>
      <c r="X39" s="14" t="str">
        <f t="shared" si="196"/>
        <v>0</v>
      </c>
      <c r="Y39" s="14" t="str">
        <f t="shared" si="196"/>
        <v>1</v>
      </c>
      <c r="Z39" s="14" t="str">
        <f t="shared" si="196"/>
        <v>0</v>
      </c>
      <c r="AB39" s="14">
        <f>D14</f>
        <v>55794</v>
      </c>
      <c r="AC39" s="14">
        <f>C14</f>
        <v>-9742</v>
      </c>
      <c r="AD39" s="17" t="s">
        <v>65</v>
      </c>
      <c r="AE39" s="18">
        <f>AB42</f>
        <v>11622</v>
      </c>
      <c r="AF39" s="15" t="s">
        <v>45</v>
      </c>
      <c r="AG39" s="13" t="s">
        <v>67</v>
      </c>
      <c r="AH39" s="13" t="s">
        <v>68</v>
      </c>
      <c r="AI39" s="13" t="s">
        <v>69</v>
      </c>
      <c r="AJ39" s="13" t="s">
        <v>70</v>
      </c>
      <c r="AK39" s="13" t="s">
        <v>71</v>
      </c>
      <c r="AL39" s="13" t="s">
        <v>72</v>
      </c>
      <c r="AQ39" s="4"/>
      <c r="AR39" s="13" t="str">
        <f t="shared" ref="AR39:BG40" si="197">K39</f>
        <v>1</v>
      </c>
      <c r="AS39" s="13" t="str">
        <f t="shared" si="197"/>
        <v>1</v>
      </c>
      <c r="AT39" s="13" t="str">
        <f t="shared" si="197"/>
        <v>0</v>
      </c>
      <c r="AU39" s="13" t="str">
        <f t="shared" si="197"/>
        <v>1</v>
      </c>
      <c r="AV39" s="13" t="str">
        <f t="shared" si="197"/>
        <v>1</v>
      </c>
      <c r="AW39" s="13" t="str">
        <f t="shared" si="197"/>
        <v>0</v>
      </c>
      <c r="AX39" s="13" t="str">
        <f t="shared" si="197"/>
        <v>0</v>
      </c>
      <c r="AY39" s="13" t="str">
        <f t="shared" si="197"/>
        <v>1</v>
      </c>
      <c r="AZ39" s="13" t="str">
        <f t="shared" si="197"/>
        <v>1</v>
      </c>
      <c r="BA39" s="13" t="str">
        <f t="shared" si="197"/>
        <v>1</v>
      </c>
      <c r="BB39" s="13" t="str">
        <f t="shared" si="197"/>
        <v>1</v>
      </c>
      <c r="BC39" s="13" t="str">
        <f t="shared" si="197"/>
        <v>1</v>
      </c>
      <c r="BD39" s="13" t="str">
        <f t="shared" si="197"/>
        <v>0</v>
      </c>
      <c r="BE39" s="13" t="str">
        <f t="shared" si="197"/>
        <v>0</v>
      </c>
      <c r="BF39" s="13" t="str">
        <f t="shared" si="197"/>
        <v>1</v>
      </c>
      <c r="BG39" s="13" t="str">
        <f t="shared" si="197"/>
        <v>0</v>
      </c>
    </row>
    <row r="40" spans="9:59" x14ac:dyDescent="0.3">
      <c r="I40" s="3" t="s">
        <v>37</v>
      </c>
      <c r="J40" t="s">
        <v>48</v>
      </c>
      <c r="K40" s="14" t="str">
        <f>MID($F$6, 16-K$1, 1)</f>
        <v>0</v>
      </c>
      <c r="L40" s="14" t="str">
        <f t="shared" ref="L40:Z40" si="198">MID($F$6, 16-L$1, 1)</f>
        <v>1</v>
      </c>
      <c r="M40" s="14" t="str">
        <f t="shared" si="198"/>
        <v>0</v>
      </c>
      <c r="N40" s="14" t="str">
        <f t="shared" si="198"/>
        <v>1</v>
      </c>
      <c r="O40" s="14" t="str">
        <f t="shared" si="198"/>
        <v>0</v>
      </c>
      <c r="P40" s="14" t="str">
        <f t="shared" si="198"/>
        <v>0</v>
      </c>
      <c r="Q40" s="14" t="str">
        <f t="shared" si="198"/>
        <v>1</v>
      </c>
      <c r="R40" s="14" t="str">
        <f t="shared" si="198"/>
        <v>1</v>
      </c>
      <c r="S40" s="14" t="str">
        <f t="shared" si="198"/>
        <v>0</v>
      </c>
      <c r="T40" s="14" t="str">
        <f t="shared" si="198"/>
        <v>1</v>
      </c>
      <c r="U40" s="14" t="str">
        <f t="shared" si="198"/>
        <v>1</v>
      </c>
      <c r="V40" s="14" t="str">
        <f t="shared" si="198"/>
        <v>1</v>
      </c>
      <c r="W40" s="14" t="str">
        <f t="shared" si="198"/>
        <v>0</v>
      </c>
      <c r="X40" s="14" t="str">
        <f t="shared" si="198"/>
        <v>1</v>
      </c>
      <c r="Y40" s="14" t="str">
        <f t="shared" si="198"/>
        <v>0</v>
      </c>
      <c r="Z40" s="14" t="str">
        <f t="shared" si="198"/>
        <v>0</v>
      </c>
      <c r="AB40" s="14">
        <f>D6</f>
        <v>21364</v>
      </c>
      <c r="AC40" s="14">
        <f>C6</f>
        <v>21364</v>
      </c>
      <c r="AD40" s="17" t="s">
        <v>66</v>
      </c>
      <c r="AE40" s="18">
        <f>AC39+AC40</f>
        <v>11622</v>
      </c>
      <c r="AF40" s="15" t="s">
        <v>45</v>
      </c>
      <c r="AG40" s="13">
        <f>AQ38</f>
        <v>1</v>
      </c>
      <c r="AH40" s="13">
        <f>IF(BG42,0,1)</f>
        <v>1</v>
      </c>
      <c r="AI40" s="13">
        <f>BC38</f>
        <v>0</v>
      </c>
      <c r="AJ40">
        <f>IF(SUM(AQ42:BG42)=0,1,0)</f>
        <v>0</v>
      </c>
      <c r="AK40">
        <f>AR42</f>
        <v>0</v>
      </c>
      <c r="AL40">
        <f>IF(_xlfn.XOR(AQ38,AR38),1,0)</f>
        <v>0</v>
      </c>
      <c r="AQ40" s="19"/>
      <c r="AR40" s="20" t="str">
        <f t="shared" si="197"/>
        <v>0</v>
      </c>
      <c r="AS40" s="20" t="str">
        <f t="shared" si="197"/>
        <v>1</v>
      </c>
      <c r="AT40" s="20" t="str">
        <f t="shared" si="197"/>
        <v>0</v>
      </c>
      <c r="AU40" s="20" t="str">
        <f t="shared" si="197"/>
        <v>1</v>
      </c>
      <c r="AV40" s="20" t="str">
        <f t="shared" si="197"/>
        <v>0</v>
      </c>
      <c r="AW40" s="20" t="str">
        <f t="shared" si="197"/>
        <v>0</v>
      </c>
      <c r="AX40" s="20" t="str">
        <f t="shared" si="197"/>
        <v>1</v>
      </c>
      <c r="AY40" s="20" t="str">
        <f t="shared" si="197"/>
        <v>1</v>
      </c>
      <c r="AZ40" s="20" t="str">
        <f t="shared" si="197"/>
        <v>0</v>
      </c>
      <c r="BA40" s="20" t="str">
        <f t="shared" si="197"/>
        <v>1</v>
      </c>
      <c r="BB40" s="20" t="str">
        <f t="shared" si="197"/>
        <v>1</v>
      </c>
      <c r="BC40" s="20" t="str">
        <f t="shared" si="197"/>
        <v>1</v>
      </c>
      <c r="BD40" s="20" t="str">
        <f t="shared" si="197"/>
        <v>0</v>
      </c>
      <c r="BE40" s="20" t="str">
        <f t="shared" si="197"/>
        <v>1</v>
      </c>
      <c r="BF40" s="20" t="str">
        <f t="shared" si="197"/>
        <v>0</v>
      </c>
      <c r="BG40" s="20" t="str">
        <f t="shared" si="197"/>
        <v>0</v>
      </c>
    </row>
    <row r="41" spans="9:59" x14ac:dyDescent="0.3">
      <c r="J41" s="7" t="s">
        <v>40</v>
      </c>
      <c r="K41" s="7" t="s">
        <v>41</v>
      </c>
      <c r="L41" s="7" t="s">
        <v>41</v>
      </c>
      <c r="M41" s="7" t="s">
        <v>41</v>
      </c>
      <c r="N41" s="7" t="s">
        <v>41</v>
      </c>
      <c r="O41" s="7" t="s">
        <v>41</v>
      </c>
      <c r="P41" s="7" t="s">
        <v>41</v>
      </c>
      <c r="Q41" s="7" t="s">
        <v>41</v>
      </c>
      <c r="R41" s="7" t="s">
        <v>41</v>
      </c>
      <c r="S41" s="7" t="s">
        <v>41</v>
      </c>
      <c r="T41" s="7" t="s">
        <v>41</v>
      </c>
      <c r="U41" s="7" t="s">
        <v>41</v>
      </c>
      <c r="V41" s="7" t="s">
        <v>41</v>
      </c>
      <c r="W41" s="7" t="s">
        <v>41</v>
      </c>
      <c r="X41" s="7" t="s">
        <v>41</v>
      </c>
      <c r="Y41" s="7" t="s">
        <v>41</v>
      </c>
      <c r="Z41" s="7" t="s">
        <v>41</v>
      </c>
      <c r="AQ41" s="13">
        <f t="shared" ref="AQ41" si="199">AQ39+AQ40+AQ38</f>
        <v>1</v>
      </c>
      <c r="AR41" s="13">
        <f t="shared" ref="AR41" si="200">AR39+AR40+AR38</f>
        <v>2</v>
      </c>
      <c r="AS41" s="13">
        <f t="shared" ref="AS41" si="201">AS39+AS40+AS38</f>
        <v>2</v>
      </c>
      <c r="AT41" s="13">
        <f t="shared" ref="AT41" si="202">AT39+AT40+AT38</f>
        <v>1</v>
      </c>
      <c r="AU41" s="13">
        <f t="shared" ref="AU41" si="203">AU39+AU40+AU38</f>
        <v>2</v>
      </c>
      <c r="AV41" s="13">
        <f t="shared" ref="AV41" si="204">AV39+AV40+AV38</f>
        <v>1</v>
      </c>
      <c r="AW41" s="13">
        <f t="shared" ref="AW41" si="205">AW39+AW40+AW38</f>
        <v>1</v>
      </c>
      <c r="AX41" s="13">
        <f t="shared" ref="AX41" si="206">AX39+AX40+AX38</f>
        <v>2</v>
      </c>
      <c r="AY41" s="13">
        <f t="shared" ref="AY41" si="207">AY39+AY40+AY38</f>
        <v>3</v>
      </c>
      <c r="AZ41" s="13">
        <f t="shared" ref="AZ41" si="208">AZ39+AZ40+AZ38</f>
        <v>2</v>
      </c>
      <c r="BA41" s="13">
        <f t="shared" ref="BA41" si="209">BA39+BA40+BA38</f>
        <v>3</v>
      </c>
      <c r="BB41" s="13">
        <f t="shared" ref="BB41" si="210">BB39+BB40+BB38</f>
        <v>3</v>
      </c>
      <c r="BC41" s="13">
        <f t="shared" ref="BC41" si="211">BC39+BC40+BC38</f>
        <v>2</v>
      </c>
      <c r="BD41" s="13">
        <f t="shared" ref="BD41" si="212">BD39+BD40+BD38</f>
        <v>0</v>
      </c>
      <c r="BE41" s="13">
        <f t="shared" ref="BE41" si="213">BE39+BE40+BE38</f>
        <v>1</v>
      </c>
      <c r="BF41" s="13">
        <f t="shared" ref="BF41" si="214">BF39+BF40+BF38</f>
        <v>1</v>
      </c>
      <c r="BG41" s="13">
        <f>BG39+BG40+BG38</f>
        <v>0</v>
      </c>
    </row>
    <row r="42" spans="9:59" x14ac:dyDescent="0.3">
      <c r="K42" s="14">
        <f t="shared" ref="K42:Z42" si="215">AR42</f>
        <v>0</v>
      </c>
      <c r="L42" s="14">
        <f t="shared" si="215"/>
        <v>0</v>
      </c>
      <c r="M42" s="14">
        <f t="shared" si="215"/>
        <v>1</v>
      </c>
      <c r="N42" s="14">
        <f t="shared" si="215"/>
        <v>0</v>
      </c>
      <c r="O42" s="14">
        <f t="shared" si="215"/>
        <v>1</v>
      </c>
      <c r="P42" s="14">
        <f t="shared" si="215"/>
        <v>1</v>
      </c>
      <c r="Q42" s="14">
        <f t="shared" si="215"/>
        <v>0</v>
      </c>
      <c r="R42" s="14">
        <f t="shared" si="215"/>
        <v>1</v>
      </c>
      <c r="S42" s="14">
        <f t="shared" si="215"/>
        <v>0</v>
      </c>
      <c r="T42" s="14">
        <f t="shared" si="215"/>
        <v>1</v>
      </c>
      <c r="U42" s="14">
        <f t="shared" si="215"/>
        <v>1</v>
      </c>
      <c r="V42" s="14">
        <f t="shared" si="215"/>
        <v>0</v>
      </c>
      <c r="W42" s="14">
        <f t="shared" si="215"/>
        <v>0</v>
      </c>
      <c r="X42" s="14">
        <f t="shared" si="215"/>
        <v>1</v>
      </c>
      <c r="Y42" s="14">
        <f t="shared" si="215"/>
        <v>1</v>
      </c>
      <c r="Z42" s="14">
        <f t="shared" si="215"/>
        <v>0</v>
      </c>
      <c r="AA42" t="s">
        <v>42</v>
      </c>
      <c r="AB42" s="12">
        <f>IF(K42=0,AB43,-1*_xlfn.BITXOR(AB43-1, POWER(2,15)-1))</f>
        <v>11622</v>
      </c>
      <c r="AC42" s="15" t="s">
        <v>45</v>
      </c>
      <c r="AF42" s="15"/>
      <c r="AQ42" s="4">
        <f t="shared" ref="AQ42" si="216">MOD(AQ41,2)</f>
        <v>1</v>
      </c>
      <c r="AR42" s="4">
        <f t="shared" ref="AR42" si="217">MOD(AR41,2)</f>
        <v>0</v>
      </c>
      <c r="AS42" s="4">
        <f t="shared" ref="AS42" si="218">MOD(AS41,2)</f>
        <v>0</v>
      </c>
      <c r="AT42" s="4">
        <f t="shared" ref="AT42" si="219">MOD(AT41,2)</f>
        <v>1</v>
      </c>
      <c r="AU42" s="4">
        <f t="shared" ref="AU42" si="220">MOD(AU41,2)</f>
        <v>0</v>
      </c>
      <c r="AV42" s="4">
        <f t="shared" ref="AV42" si="221">MOD(AV41,2)</f>
        <v>1</v>
      </c>
      <c r="AW42" s="4">
        <f t="shared" ref="AW42" si="222">MOD(AW41,2)</f>
        <v>1</v>
      </c>
      <c r="AX42" s="4">
        <f t="shared" ref="AX42" si="223">MOD(AX41,2)</f>
        <v>0</v>
      </c>
      <c r="AY42" s="4">
        <f t="shared" ref="AY42" si="224">MOD(AY41,2)</f>
        <v>1</v>
      </c>
      <c r="AZ42" s="4">
        <f t="shared" ref="AZ42" si="225">MOD(AZ41,2)</f>
        <v>0</v>
      </c>
      <c r="BA42" s="4">
        <f t="shared" ref="BA42" si="226">MOD(BA41,2)</f>
        <v>1</v>
      </c>
      <c r="BB42" s="4">
        <f t="shared" ref="BB42" si="227">MOD(BB41,2)</f>
        <v>1</v>
      </c>
      <c r="BC42" s="4">
        <f t="shared" ref="BC42" si="228">MOD(BC41,2)</f>
        <v>0</v>
      </c>
      <c r="BD42" s="4">
        <f t="shared" ref="BD42" si="229">MOD(BD41,2)</f>
        <v>0</v>
      </c>
      <c r="BE42" s="4">
        <f t="shared" ref="BE42" si="230">MOD(BE41,2)</f>
        <v>1</v>
      </c>
      <c r="BF42" s="4">
        <f t="shared" ref="BF42" si="231">MOD(BF41,2)</f>
        <v>1</v>
      </c>
      <c r="BG42" s="4">
        <f>MOD(BG41,2)</f>
        <v>0</v>
      </c>
    </row>
    <row r="43" spans="9:59" x14ac:dyDescent="0.3">
      <c r="AB43">
        <f>L42*POWER(2, 14)+M42*POWER(2,13)+N42*POWER(2,12)+O42*POWER(2,11)+P42*POWER(2,10)+Q42*POWER(2,9)+R42*POWER(2,8)+S42*POWER(2,7)+T42*POWER(2,6)+U42*POWER(2,5)+V42*POWER(2,4)+W42*POWER(2,3)+X42*POWER(2,2)+Y42*POWER(2,1)+Z42*POWER(2,0)</f>
        <v>11622</v>
      </c>
    </row>
  </sheetData>
  <conditionalFormatting sqref="A1:XFD1048576">
    <cfRule type="cellIs" dxfId="0" priority="1" operator="equal">
      <formula>-1</formula>
    </cfRule>
  </conditionalFormatting>
  <pageMargins left="0.7" right="0.7" top="0.75" bottom="0.75" header="0.3" footer="0.3"/>
  <pageSetup paperSize="9" orientation="portrait" r:id="rId1"/>
  <headerFooter>
    <oddHeader xml:space="preserve">&amp;LПономарёв М. И.&amp;CВариант 11&amp;Rdata.xlsm
</oddHeader>
    <oddFooter>&amp;C12/1/2022 11:58 AM</oddFooter>
  </headerFooter>
  <ignoredErrors>
    <ignoredError sqref="AC6 AF4" numberStoredAsText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Пономарев</dc:creator>
  <cp:lastModifiedBy>Михаил</cp:lastModifiedBy>
  <dcterms:created xsi:type="dcterms:W3CDTF">2022-12-01T08:50:30Z</dcterms:created>
  <dcterms:modified xsi:type="dcterms:W3CDTF">2022-12-01T17:37:49Z</dcterms:modified>
</cp:coreProperties>
</file>